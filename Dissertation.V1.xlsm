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2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3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ostgraduate in Manchester\EEE course\EEEN60070\excel文件\"/>
    </mc:Choice>
  </mc:AlternateContent>
  <xr:revisionPtr revIDLastSave="0" documentId="13_ncr:1_{92094ED7-B000-4A95-BA0C-E76692B0A02A}" xr6:coauthVersionLast="47" xr6:coauthVersionMax="47" xr10:uidLastSave="{00000000-0000-0000-0000-000000000000}"/>
  <bookViews>
    <workbookView xWindow="-110" yWindow="-110" windowWidth="19420" windowHeight="11500" tabRatio="683" firstSheet="4" activeTab="4" xr2:uid="{60764202-D27B-45F1-8E44-C81EBABD5C4E}"/>
  </bookViews>
  <sheets>
    <sheet name="Main" sheetId="1" r:id="rId1"/>
    <sheet name="Charging_parameter" sheetId="4" r:id="rId2"/>
    <sheet name="Load_per_hour_per_car" sheetId="3" r:id="rId3"/>
    <sheet name="total_power_load_per_house" sheetId="5" r:id="rId4"/>
    <sheet name="area's EV charging demand load" sheetId="6" r:id="rId5"/>
    <sheet name="load_per_car(slow charging)" sheetId="7" r:id="rId6"/>
  </sheets>
  <definedNames>
    <definedName name="_xlchart.v1.0" hidden="1">'area''s EV charging demand load'!$A$1:$X$1</definedName>
    <definedName name="_xlchart.v1.1" hidden="1">'area''s EV charging demand load'!$A$2:$X$2</definedName>
    <definedName name="_xlchart.v1.2" hidden="1">'area''s EV charging demand load'!$A$1:$X$1</definedName>
    <definedName name="_xlchart.v1.3" hidden="1">'area''s EV charging demand load'!$A$3:$X$3</definedName>
    <definedName name="_xlchart.v1.4" hidden="1">'area''s EV charging demand load'!$A$1:$X$1</definedName>
    <definedName name="_xlchart.v1.5" hidden="1">'area''s EV charging demand load'!$A$4:$X$4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X13" i="6" l="1"/>
  <c r="X10" i="6"/>
  <c r="T1" i="4"/>
  <c r="Q1" i="4"/>
  <c r="N1" i="4"/>
  <c r="D5" i="1"/>
</calcChain>
</file>

<file path=xl/sharedStrings.xml><?xml version="1.0" encoding="utf-8"?>
<sst xmlns="http://schemas.openxmlformats.org/spreadsheetml/2006/main" count="142" uniqueCount="68">
  <si>
    <t>daily miles</t>
    <phoneticPr fontId="1" type="noConversion"/>
  </si>
  <si>
    <t>maximum range (input)</t>
    <phoneticPr fontId="1" type="noConversion"/>
  </si>
  <si>
    <t>100% battery(KWh)</t>
    <phoneticPr fontId="1" type="noConversion"/>
  </si>
  <si>
    <t>inertial SOC</t>
    <phoneticPr fontId="1" type="noConversion"/>
  </si>
  <si>
    <t>daily miles standard dev</t>
    <phoneticPr fontId="1" type="noConversion"/>
  </si>
  <si>
    <t>charging mode</t>
    <phoneticPr fontId="1" type="noConversion"/>
  </si>
  <si>
    <t>charging power (KW)</t>
    <phoneticPr fontId="1" type="noConversion"/>
  </si>
  <si>
    <t>go out time</t>
    <phoneticPr fontId="1" type="noConversion"/>
  </si>
  <si>
    <t>charging voltage(V)</t>
    <phoneticPr fontId="1" type="noConversion"/>
  </si>
  <si>
    <t>charging current(A)</t>
    <phoneticPr fontId="1" type="noConversion"/>
  </si>
  <si>
    <t>go home time mean</t>
    <phoneticPr fontId="1" type="noConversion"/>
  </si>
  <si>
    <t>go home time standard dev</t>
    <phoneticPr fontId="1" type="noConversion"/>
  </si>
  <si>
    <t>go out time mean</t>
    <phoneticPr fontId="1" type="noConversion"/>
  </si>
  <si>
    <t>go out time standard dev</t>
    <phoneticPr fontId="1" type="noConversion"/>
  </si>
  <si>
    <t>full power charing duration (h)</t>
    <phoneticPr fontId="1" type="noConversion"/>
  </si>
  <si>
    <t>last hour charging power (kw)</t>
    <phoneticPr fontId="1" type="noConversion"/>
  </si>
  <si>
    <t>time to the next hour</t>
    <phoneticPr fontId="1" type="noConversion"/>
  </si>
  <si>
    <t>0-1h</t>
    <phoneticPr fontId="1" type="noConversion"/>
  </si>
  <si>
    <t>1-2h</t>
    <phoneticPr fontId="1" type="noConversion"/>
  </si>
  <si>
    <t>2-3h</t>
    <phoneticPr fontId="1" type="noConversion"/>
  </si>
  <si>
    <t>3-4h</t>
    <phoneticPr fontId="1" type="noConversion"/>
  </si>
  <si>
    <t>4-5h</t>
    <phoneticPr fontId="1" type="noConversion"/>
  </si>
  <si>
    <t>5-6h</t>
    <phoneticPr fontId="1" type="noConversion"/>
  </si>
  <si>
    <t>6-7h</t>
    <phoneticPr fontId="1" type="noConversion"/>
  </si>
  <si>
    <t>7-8h</t>
    <phoneticPr fontId="1" type="noConversion"/>
  </si>
  <si>
    <t>8-9h</t>
    <phoneticPr fontId="1" type="noConversion"/>
  </si>
  <si>
    <t>9-10h</t>
    <phoneticPr fontId="1" type="noConversion"/>
  </si>
  <si>
    <t>10-11h</t>
    <phoneticPr fontId="1" type="noConversion"/>
  </si>
  <si>
    <t>11-12h</t>
    <phoneticPr fontId="1" type="noConversion"/>
  </si>
  <si>
    <t>12-13h</t>
    <phoneticPr fontId="1" type="noConversion"/>
  </si>
  <si>
    <t>13-14h</t>
    <phoneticPr fontId="1" type="noConversion"/>
  </si>
  <si>
    <t>14-15h</t>
    <phoneticPr fontId="1" type="noConversion"/>
  </si>
  <si>
    <t>15-16h</t>
    <phoneticPr fontId="1" type="noConversion"/>
  </si>
  <si>
    <t>16-17h</t>
    <phoneticPr fontId="1" type="noConversion"/>
  </si>
  <si>
    <t>17-18h</t>
    <phoneticPr fontId="1" type="noConversion"/>
  </si>
  <si>
    <t>18-19h</t>
    <phoneticPr fontId="1" type="noConversion"/>
  </si>
  <si>
    <t>19-20h</t>
    <phoneticPr fontId="1" type="noConversion"/>
  </si>
  <si>
    <t>20-21h</t>
    <phoneticPr fontId="1" type="noConversion"/>
  </si>
  <si>
    <t>21-22h</t>
    <phoneticPr fontId="1" type="noConversion"/>
  </si>
  <si>
    <t>22-23h</t>
    <phoneticPr fontId="1" type="noConversion"/>
  </si>
  <si>
    <t>23-24h</t>
    <phoneticPr fontId="1" type="noConversion"/>
  </si>
  <si>
    <t>energy needs to be charged</t>
    <phoneticPr fontId="1" type="noConversion"/>
  </si>
  <si>
    <t>charging start time</t>
    <phoneticPr fontId="1" type="noConversion"/>
  </si>
  <si>
    <t>Number of house</t>
    <phoneticPr fontId="1" type="noConversion"/>
  </si>
  <si>
    <t>house</t>
    <phoneticPr fontId="1" type="noConversion"/>
  </si>
  <si>
    <t>car number</t>
    <phoneticPr fontId="1" type="noConversion"/>
  </si>
  <si>
    <t>total Evs number</t>
    <phoneticPr fontId="1" type="noConversion"/>
  </si>
  <si>
    <t>house number</t>
    <phoneticPr fontId="1" type="noConversion"/>
  </si>
  <si>
    <t>ln daily miles mean</t>
    <phoneticPr fontId="1" type="noConversion"/>
  </si>
  <si>
    <t>efficiency</t>
    <phoneticPr fontId="1" type="noConversion"/>
  </si>
  <si>
    <t>mean</t>
    <phoneticPr fontId="1" type="noConversion"/>
  </si>
  <si>
    <t>standard deviation</t>
    <phoneticPr fontId="1" type="noConversion"/>
  </si>
  <si>
    <t>average SOC</t>
    <phoneticPr fontId="1" type="noConversion"/>
  </si>
  <si>
    <t>average duration</t>
    <phoneticPr fontId="1" type="noConversion"/>
  </si>
  <si>
    <t>energy</t>
    <phoneticPr fontId="1" type="noConversion"/>
  </si>
  <si>
    <t>Total electricity demand</t>
  </si>
  <si>
    <r>
      <t>P</t>
    </r>
    <r>
      <rPr>
        <i/>
        <vertAlign val="subscript"/>
        <sz val="9"/>
        <color theme="1"/>
        <rFont val="Arial"/>
        <family val="2"/>
      </rPr>
      <t>e</t>
    </r>
  </si>
  <si>
    <t>kW</t>
  </si>
  <si>
    <t>other demand</t>
    <phoneticPr fontId="1" type="noConversion"/>
  </si>
  <si>
    <t>immediate charging</t>
    <phoneticPr fontId="1" type="noConversion"/>
  </si>
  <si>
    <t>charging power</t>
    <phoneticPr fontId="1" type="noConversion"/>
  </si>
  <si>
    <t>charging start</t>
    <phoneticPr fontId="1" type="noConversion"/>
  </si>
  <si>
    <t>charging end</t>
    <phoneticPr fontId="1" type="noConversion"/>
  </si>
  <si>
    <t>energy need charge</t>
    <phoneticPr fontId="1" type="noConversion"/>
  </si>
  <si>
    <t>charging time</t>
    <phoneticPr fontId="1" type="noConversion"/>
  </si>
  <si>
    <t>max</t>
    <phoneticPr fontId="1" type="noConversion"/>
  </si>
  <si>
    <t>slow charge</t>
    <phoneticPr fontId="1" type="noConversion"/>
  </si>
  <si>
    <t>EVs penetration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</si>
</sst>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0"/>
      <name val="Arial"/>
      <family val="2"/>
    </font>
    <font>
      <sz val="10"/>
      <name val="Arial"/>
      <family val="2"/>
    </font>
    <font>
      <i/>
      <sz val="9"/>
      <color theme="1"/>
      <name val="Arial"/>
      <family val="2"/>
    </font>
    <font>
      <i/>
      <vertAlign val="subscript"/>
      <sz val="9"/>
      <color theme="1"/>
      <name val="Arial"/>
      <family val="2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8">
    <xf numFmtId="0" fontId="0" fillId="0" borderId="0" xfId="0">
      <alignment vertical="center"/>
    </xf>
    <xf numFmtId="58" fontId="0" fillId="0" borderId="0" xfId="0" applyNumberFormat="1">
      <alignment vertical="center"/>
    </xf>
    <xf numFmtId="0" fontId="0" fillId="0" borderId="0" xfId="0" applyFill="1" applyBorder="1">
      <alignment vertical="center"/>
    </xf>
    <xf numFmtId="0" fontId="0" fillId="0" borderId="0" xfId="0" applyAlignment="1"/>
    <xf numFmtId="0" fontId="2" fillId="0" borderId="1" xfId="0" applyFont="1" applyBorder="1" applyAlignment="1">
      <alignment wrapText="1"/>
    </xf>
    <xf numFmtId="0" fontId="4" fillId="0" borderId="0" xfId="1" applyFont="1" applyAlignment="1">
      <alignment horizontal="center" wrapText="1"/>
    </xf>
    <xf numFmtId="0" fontId="3" fillId="0" borderId="2" xfId="0" applyFont="1" applyBorder="1" applyAlignment="1">
      <alignment horizontal="center"/>
    </xf>
    <xf numFmtId="9" fontId="0" fillId="0" borderId="0" xfId="0" applyNumberFormat="1">
      <alignment vertical="center"/>
    </xf>
  </cellXfs>
  <cellStyles count="2">
    <cellStyle name="Normal 2" xfId="1" xr:uid="{7C0CD655-E4E9-4334-92D4-D8FE363C608D}"/>
    <cellStyle name="常规" xfId="0" builtinId="0"/>
  </cellStyles>
  <dxfs count="0"/>
  <tableStyles count="0" defaultTableStyle="TableStyleMedium2" defaultPivotStyle="PivotStyleLight16"/>
  <colors>
    <mruColors>
      <color rgb="FFCC0000"/>
      <color rgb="FF99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02536964674926"/>
          <c:y val="4.680860474170831E-2"/>
          <c:w val="0.84854320890686674"/>
          <c:h val="0.65949537844606143"/>
        </c:manualLayout>
      </c:layout>
      <c:barChart>
        <c:barDir val="col"/>
        <c:grouping val="stacked"/>
        <c:varyColors val="0"/>
        <c:ser>
          <c:idx val="0"/>
          <c:order val="0"/>
          <c:tx>
            <c:v>EV charging demand</c:v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'area''s EV charging demand load'!$A$1:$X$1</c:f>
              <c:strCache>
                <c:ptCount val="24"/>
                <c:pt idx="0">
                  <c:v>0-1h</c:v>
                </c:pt>
                <c:pt idx="1">
                  <c:v>1-2h</c:v>
                </c:pt>
                <c:pt idx="2">
                  <c:v>2-3h</c:v>
                </c:pt>
                <c:pt idx="3">
                  <c:v>3-4h</c:v>
                </c:pt>
                <c:pt idx="4">
                  <c:v>4-5h</c:v>
                </c:pt>
                <c:pt idx="5">
                  <c:v>5-6h</c:v>
                </c:pt>
                <c:pt idx="6">
                  <c:v>6-7h</c:v>
                </c:pt>
                <c:pt idx="7">
                  <c:v>7-8h</c:v>
                </c:pt>
                <c:pt idx="8">
                  <c:v>8-9h</c:v>
                </c:pt>
                <c:pt idx="9">
                  <c:v>9-10h</c:v>
                </c:pt>
                <c:pt idx="10">
                  <c:v>10-11h</c:v>
                </c:pt>
                <c:pt idx="11">
                  <c:v>11-12h</c:v>
                </c:pt>
                <c:pt idx="12">
                  <c:v>12-13h</c:v>
                </c:pt>
                <c:pt idx="13">
                  <c:v>13-14h</c:v>
                </c:pt>
                <c:pt idx="14">
                  <c:v>14-15h</c:v>
                </c:pt>
                <c:pt idx="15">
                  <c:v>15-16h</c:v>
                </c:pt>
                <c:pt idx="16">
                  <c:v>16-17h</c:v>
                </c:pt>
                <c:pt idx="17">
                  <c:v>17-18h</c:v>
                </c:pt>
                <c:pt idx="18">
                  <c:v>18-19h</c:v>
                </c:pt>
                <c:pt idx="19">
                  <c:v>19-20h</c:v>
                </c:pt>
                <c:pt idx="20">
                  <c:v>20-21h</c:v>
                </c:pt>
                <c:pt idx="21">
                  <c:v>21-22h</c:v>
                </c:pt>
                <c:pt idx="22">
                  <c:v>22-23h</c:v>
                </c:pt>
                <c:pt idx="23">
                  <c:v>23-24h</c:v>
                </c:pt>
              </c:strCache>
            </c:strRef>
          </c:cat>
          <c:val>
            <c:numRef>
              <c:f>'area''s EV charging demand load'!$A$2:$X$2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6.1472236852576359</c:v>
                </c:pt>
                <c:pt idx="17">
                  <c:v>28.329582297281654</c:v>
                </c:pt>
                <c:pt idx="18">
                  <c:v>116.94926327687861</c:v>
                </c:pt>
                <c:pt idx="19">
                  <c:v>269.44361526429924</c:v>
                </c:pt>
                <c:pt idx="20">
                  <c:v>204.32965355395729</c:v>
                </c:pt>
                <c:pt idx="21">
                  <c:v>72.098857252314588</c:v>
                </c:pt>
                <c:pt idx="22">
                  <c:v>6.6059402062612298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45-4A91-8489-FEEC1683D4B1}"/>
            </c:ext>
          </c:extLst>
        </c:ser>
        <c:ser>
          <c:idx val="1"/>
          <c:order val="1"/>
          <c:tx>
            <c:v>Other electricity demand</c:v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'area''s EV charging demand load'!$A$1:$X$1</c:f>
              <c:strCache>
                <c:ptCount val="24"/>
                <c:pt idx="0">
                  <c:v>0-1h</c:v>
                </c:pt>
                <c:pt idx="1">
                  <c:v>1-2h</c:v>
                </c:pt>
                <c:pt idx="2">
                  <c:v>2-3h</c:v>
                </c:pt>
                <c:pt idx="3">
                  <c:v>3-4h</c:v>
                </c:pt>
                <c:pt idx="4">
                  <c:v>4-5h</c:v>
                </c:pt>
                <c:pt idx="5">
                  <c:v>5-6h</c:v>
                </c:pt>
                <c:pt idx="6">
                  <c:v>6-7h</c:v>
                </c:pt>
                <c:pt idx="7">
                  <c:v>7-8h</c:v>
                </c:pt>
                <c:pt idx="8">
                  <c:v>8-9h</c:v>
                </c:pt>
                <c:pt idx="9">
                  <c:v>9-10h</c:v>
                </c:pt>
                <c:pt idx="10">
                  <c:v>10-11h</c:v>
                </c:pt>
                <c:pt idx="11">
                  <c:v>11-12h</c:v>
                </c:pt>
                <c:pt idx="12">
                  <c:v>12-13h</c:v>
                </c:pt>
                <c:pt idx="13">
                  <c:v>13-14h</c:v>
                </c:pt>
                <c:pt idx="14">
                  <c:v>14-15h</c:v>
                </c:pt>
                <c:pt idx="15">
                  <c:v>15-16h</c:v>
                </c:pt>
                <c:pt idx="16">
                  <c:v>16-17h</c:v>
                </c:pt>
                <c:pt idx="17">
                  <c:v>17-18h</c:v>
                </c:pt>
                <c:pt idx="18">
                  <c:v>18-19h</c:v>
                </c:pt>
                <c:pt idx="19">
                  <c:v>19-20h</c:v>
                </c:pt>
                <c:pt idx="20">
                  <c:v>20-21h</c:v>
                </c:pt>
                <c:pt idx="21">
                  <c:v>21-22h</c:v>
                </c:pt>
                <c:pt idx="22">
                  <c:v>22-23h</c:v>
                </c:pt>
                <c:pt idx="23">
                  <c:v>23-24h</c:v>
                </c:pt>
              </c:strCache>
            </c:strRef>
          </c:cat>
          <c:val>
            <c:numRef>
              <c:f>'area''s EV charging demand load'!$A$3:$X$3</c:f>
              <c:numCache>
                <c:formatCode>General</c:formatCode>
                <c:ptCount val="24"/>
                <c:pt idx="0">
                  <c:v>20.25704567748954</c:v>
                </c:pt>
                <c:pt idx="1">
                  <c:v>21.987922456425078</c:v>
                </c:pt>
                <c:pt idx="2">
                  <c:v>22.621788325554711</c:v>
                </c:pt>
                <c:pt idx="3">
                  <c:v>20.946522447275868</c:v>
                </c:pt>
                <c:pt idx="4">
                  <c:v>20.236962010390084</c:v>
                </c:pt>
                <c:pt idx="5">
                  <c:v>19.604487793486449</c:v>
                </c:pt>
                <c:pt idx="6">
                  <c:v>24.865360833825616</c:v>
                </c:pt>
                <c:pt idx="7">
                  <c:v>38.806937124965692</c:v>
                </c:pt>
                <c:pt idx="8">
                  <c:v>40.099746946297095</c:v>
                </c:pt>
                <c:pt idx="9">
                  <c:v>24.661837615257205</c:v>
                </c:pt>
                <c:pt idx="10">
                  <c:v>19.088096078759097</c:v>
                </c:pt>
                <c:pt idx="11">
                  <c:v>18.412956070762327</c:v>
                </c:pt>
                <c:pt idx="12">
                  <c:v>18.897028279585658</c:v>
                </c:pt>
                <c:pt idx="13">
                  <c:v>22.588989569986712</c:v>
                </c:pt>
                <c:pt idx="14">
                  <c:v>17.910115534016949</c:v>
                </c:pt>
                <c:pt idx="15">
                  <c:v>19.546833522736044</c:v>
                </c:pt>
                <c:pt idx="16">
                  <c:v>28.592632785521879</c:v>
                </c:pt>
                <c:pt idx="17">
                  <c:v>25.818308938329849</c:v>
                </c:pt>
                <c:pt idx="18">
                  <c:v>34.846919065998172</c:v>
                </c:pt>
                <c:pt idx="19">
                  <c:v>39.607280889374501</c:v>
                </c:pt>
                <c:pt idx="20">
                  <c:v>34.981530687127268</c:v>
                </c:pt>
                <c:pt idx="21">
                  <c:v>38.304027841019042</c:v>
                </c:pt>
                <c:pt idx="22">
                  <c:v>35.374707419213081</c:v>
                </c:pt>
                <c:pt idx="23">
                  <c:v>27.556922988159862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45-4A91-8489-FEEC1683D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624749408"/>
        <c:axId val="624752432"/>
      </c:barChart>
      <c:catAx>
        <c:axId val="624749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24752432"/>
        <c:crosses val="autoZero"/>
        <c:auto val="1"/>
        <c:lblAlgn val="ctr"/>
        <c:lblOffset val="100"/>
        <c:noMultiLvlLbl val="0"/>
      </c:catAx>
      <c:valAx>
        <c:axId val="624752432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Power</a:t>
                </a:r>
                <a:r>
                  <a:rPr lang="en-US" altLang="zh-CN" baseline="0"/>
                  <a:t> Demand (kWh)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24749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911656847089918"/>
          <c:y val="4.89821735743102E-2"/>
          <c:w val="0.83011420075987008"/>
          <c:h val="0.65704273896253163"/>
        </c:manualLayout>
      </c:layout>
      <c:barChart>
        <c:barDir val="col"/>
        <c:grouping val="stacked"/>
        <c:varyColors val="0"/>
        <c:ser>
          <c:idx val="1"/>
          <c:order val="0"/>
          <c:tx>
            <c:v>Slow charging demand</c:v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'area''s EV charging demand load'!$A$1:$X$1</c:f>
              <c:strCache>
                <c:ptCount val="24"/>
                <c:pt idx="0">
                  <c:v>0-1h</c:v>
                </c:pt>
                <c:pt idx="1">
                  <c:v>1-2h</c:v>
                </c:pt>
                <c:pt idx="2">
                  <c:v>2-3h</c:v>
                </c:pt>
                <c:pt idx="3">
                  <c:v>3-4h</c:v>
                </c:pt>
                <c:pt idx="4">
                  <c:v>4-5h</c:v>
                </c:pt>
                <c:pt idx="5">
                  <c:v>5-6h</c:v>
                </c:pt>
                <c:pt idx="6">
                  <c:v>6-7h</c:v>
                </c:pt>
                <c:pt idx="7">
                  <c:v>7-8h</c:v>
                </c:pt>
                <c:pt idx="8">
                  <c:v>8-9h</c:v>
                </c:pt>
                <c:pt idx="9">
                  <c:v>9-10h</c:v>
                </c:pt>
                <c:pt idx="10">
                  <c:v>10-11h</c:v>
                </c:pt>
                <c:pt idx="11">
                  <c:v>11-12h</c:v>
                </c:pt>
                <c:pt idx="12">
                  <c:v>12-13h</c:v>
                </c:pt>
                <c:pt idx="13">
                  <c:v>13-14h</c:v>
                </c:pt>
                <c:pt idx="14">
                  <c:v>14-15h</c:v>
                </c:pt>
                <c:pt idx="15">
                  <c:v>15-16h</c:v>
                </c:pt>
                <c:pt idx="16">
                  <c:v>16-17h</c:v>
                </c:pt>
                <c:pt idx="17">
                  <c:v>17-18h</c:v>
                </c:pt>
                <c:pt idx="18">
                  <c:v>18-19h</c:v>
                </c:pt>
                <c:pt idx="19">
                  <c:v>19-20h</c:v>
                </c:pt>
                <c:pt idx="20">
                  <c:v>20-21h</c:v>
                </c:pt>
                <c:pt idx="21">
                  <c:v>21-22h</c:v>
                </c:pt>
                <c:pt idx="22">
                  <c:v>22-23h</c:v>
                </c:pt>
                <c:pt idx="23">
                  <c:v>23-24h</c:v>
                </c:pt>
              </c:strCache>
            </c:strRef>
          </c:cat>
          <c:val>
            <c:numRef>
              <c:f>'area''s EV charging demand load'!$A$4:$X$4</c:f>
              <c:numCache>
                <c:formatCode>General</c:formatCode>
                <c:ptCount val="24"/>
                <c:pt idx="0">
                  <c:v>83.707092312651866</c:v>
                </c:pt>
                <c:pt idx="1">
                  <c:v>127.89305321175615</c:v>
                </c:pt>
                <c:pt idx="2">
                  <c:v>54.037840740170182</c:v>
                </c:pt>
                <c:pt idx="3">
                  <c:v>11.226351890633293</c:v>
                </c:pt>
                <c:pt idx="4">
                  <c:v>7.5430398884658134E-2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3.0736118426288179</c:v>
                </c:pt>
                <c:pt idx="22">
                  <c:v>19.022449720620322</c:v>
                </c:pt>
                <c:pt idx="23">
                  <c:v>67.697992780595285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51-4409-B3D8-6E5F6A25FB90}"/>
            </c:ext>
          </c:extLst>
        </c:ser>
        <c:ser>
          <c:idx val="0"/>
          <c:order val="1"/>
          <c:tx>
            <c:v>Other electricity demand</c:v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'area''s EV charging demand load'!$A$1:$X$1</c:f>
              <c:strCache>
                <c:ptCount val="24"/>
                <c:pt idx="0">
                  <c:v>0-1h</c:v>
                </c:pt>
                <c:pt idx="1">
                  <c:v>1-2h</c:v>
                </c:pt>
                <c:pt idx="2">
                  <c:v>2-3h</c:v>
                </c:pt>
                <c:pt idx="3">
                  <c:v>3-4h</c:v>
                </c:pt>
                <c:pt idx="4">
                  <c:v>4-5h</c:v>
                </c:pt>
                <c:pt idx="5">
                  <c:v>5-6h</c:v>
                </c:pt>
                <c:pt idx="6">
                  <c:v>6-7h</c:v>
                </c:pt>
                <c:pt idx="7">
                  <c:v>7-8h</c:v>
                </c:pt>
                <c:pt idx="8">
                  <c:v>8-9h</c:v>
                </c:pt>
                <c:pt idx="9">
                  <c:v>9-10h</c:v>
                </c:pt>
                <c:pt idx="10">
                  <c:v>10-11h</c:v>
                </c:pt>
                <c:pt idx="11">
                  <c:v>11-12h</c:v>
                </c:pt>
                <c:pt idx="12">
                  <c:v>12-13h</c:v>
                </c:pt>
                <c:pt idx="13">
                  <c:v>13-14h</c:v>
                </c:pt>
                <c:pt idx="14">
                  <c:v>14-15h</c:v>
                </c:pt>
                <c:pt idx="15">
                  <c:v>15-16h</c:v>
                </c:pt>
                <c:pt idx="16">
                  <c:v>16-17h</c:v>
                </c:pt>
                <c:pt idx="17">
                  <c:v>17-18h</c:v>
                </c:pt>
                <c:pt idx="18">
                  <c:v>18-19h</c:v>
                </c:pt>
                <c:pt idx="19">
                  <c:v>19-20h</c:v>
                </c:pt>
                <c:pt idx="20">
                  <c:v>20-21h</c:v>
                </c:pt>
                <c:pt idx="21">
                  <c:v>21-22h</c:v>
                </c:pt>
                <c:pt idx="22">
                  <c:v>22-23h</c:v>
                </c:pt>
                <c:pt idx="23">
                  <c:v>23-24h</c:v>
                </c:pt>
              </c:strCache>
            </c:strRef>
          </c:cat>
          <c:val>
            <c:numRef>
              <c:f>'area''s EV charging demand load'!$A$3:$X$3</c:f>
              <c:numCache>
                <c:formatCode>General</c:formatCode>
                <c:ptCount val="24"/>
                <c:pt idx="0">
                  <c:v>20.25704567748954</c:v>
                </c:pt>
                <c:pt idx="1">
                  <c:v>21.987922456425078</c:v>
                </c:pt>
                <c:pt idx="2">
                  <c:v>22.621788325554711</c:v>
                </c:pt>
                <c:pt idx="3">
                  <c:v>20.946522447275868</c:v>
                </c:pt>
                <c:pt idx="4">
                  <c:v>20.236962010390084</c:v>
                </c:pt>
                <c:pt idx="5">
                  <c:v>19.604487793486449</c:v>
                </c:pt>
                <c:pt idx="6">
                  <c:v>24.865360833825616</c:v>
                </c:pt>
                <c:pt idx="7">
                  <c:v>38.806937124965692</c:v>
                </c:pt>
                <c:pt idx="8">
                  <c:v>40.099746946297095</c:v>
                </c:pt>
                <c:pt idx="9">
                  <c:v>24.661837615257205</c:v>
                </c:pt>
                <c:pt idx="10">
                  <c:v>19.088096078759097</c:v>
                </c:pt>
                <c:pt idx="11">
                  <c:v>18.412956070762327</c:v>
                </c:pt>
                <c:pt idx="12">
                  <c:v>18.897028279585658</c:v>
                </c:pt>
                <c:pt idx="13">
                  <c:v>22.588989569986712</c:v>
                </c:pt>
                <c:pt idx="14">
                  <c:v>17.910115534016949</c:v>
                </c:pt>
                <c:pt idx="15">
                  <c:v>19.546833522736044</c:v>
                </c:pt>
                <c:pt idx="16">
                  <c:v>28.592632785521879</c:v>
                </c:pt>
                <c:pt idx="17">
                  <c:v>25.818308938329849</c:v>
                </c:pt>
                <c:pt idx="18">
                  <c:v>34.846919065998172</c:v>
                </c:pt>
                <c:pt idx="19">
                  <c:v>39.607280889374501</c:v>
                </c:pt>
                <c:pt idx="20">
                  <c:v>34.981530687127268</c:v>
                </c:pt>
                <c:pt idx="21">
                  <c:v>38.304027841019042</c:v>
                </c:pt>
                <c:pt idx="22">
                  <c:v>35.374707419213081</c:v>
                </c:pt>
                <c:pt idx="23">
                  <c:v>27.556922988159862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51-4409-B3D8-6E5F6A25FB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1387866496"/>
        <c:axId val="1387866912"/>
      </c:barChart>
      <c:catAx>
        <c:axId val="1387866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7866912"/>
        <c:crosses val="autoZero"/>
        <c:auto val="1"/>
        <c:lblAlgn val="ctr"/>
        <c:lblOffset val="100"/>
        <c:noMultiLvlLbl val="0"/>
      </c:catAx>
      <c:valAx>
        <c:axId val="1387866912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Power</a:t>
                </a:r>
                <a:r>
                  <a:rPr lang="en-US" altLang="zh-CN" baseline="0"/>
                  <a:t> Demand (kWh)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7866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val">
        <cx:f dir="row">_xlchart.v1.1</cx:f>
      </cx:numDim>
    </cx:data>
  </cx:chartData>
  <cx:chart>
    <cx:plotArea>
      <cx:plotAreaRegion>
        <cx:series layoutId="clusteredColumn" uniqueId="{E30A98E7-DB0D-4FF3-A276-34356B82F2C2}">
          <cx:spPr>
            <a:solidFill>
              <a:schemeClr val="bg2">
                <a:lumMod val="50000"/>
              </a:schemeClr>
            </a:solidFill>
          </cx:spPr>
          <cx:dataId val="0"/>
          <cx:layoutPr>
            <cx:aggregation/>
          </cx:layoutPr>
        </cx:series>
      </cx:plotAreaRegion>
      <cx:axis id="0">
        <cx:catScaling gapWidth="0"/>
        <cx:title>
          <cx:tx>
            <cx:rich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/>
                </a:pPr>
                <a:r>
                  <a:rPr lang="en-US" altLang="zh-CN" sz="9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Calibri" panose="020F0502020204030204"/>
                    <a:ea typeface="等线" panose="02010600030101010101" pitchFamily="2" charset="-122"/>
                  </a:rPr>
                  <a:t>TIme</a:t>
                </a:r>
                <a:endParaRPr lang="zh-CN" alt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  <a:ea typeface="等线" panose="02010600030101010101" pitchFamily="2" charset="-122"/>
                </a:endParaRPr>
              </a:p>
            </cx:rich>
          </cx:tx>
        </cx:title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endParaRPr lang="zh-CN" altLang="en-US" sz="9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等线" panose="02010600030101010101" pitchFamily="2" charset="-122"/>
            </a:endParaRPr>
          </a:p>
        </cx:txPr>
      </cx:axis>
      <cx:axis id="1">
        <cx:valScaling max="300"/>
        <cx:title>
          <cx:tx>
            <cx:rich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/>
                </a:pPr>
                <a:r>
                  <a:rPr lang="en-US" altLang="zh-CN" sz="9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Calibri" panose="020F0502020204030204"/>
                    <a:ea typeface="等线" panose="02010600030101010101" pitchFamily="2" charset="-122"/>
                  </a:rPr>
                  <a:t>Power</a:t>
                </a:r>
                <a:r>
                  <a:rPr lang="zh-CN" altLang="en-US" sz="9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Calibri" panose="020F0502020204030204"/>
                    <a:ea typeface="等线" panose="02010600030101010101" pitchFamily="2" charset="-122"/>
                  </a:rPr>
                  <a:t> </a:t>
                </a:r>
                <a:r>
                  <a:rPr lang="en-US" altLang="zh-CN" sz="9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Calibri" panose="020F0502020204030204"/>
                    <a:ea typeface="等线" panose="02010600030101010101" pitchFamily="2" charset="-122"/>
                  </a:rPr>
                  <a:t>Demand</a:t>
                </a:r>
                <a:r>
                  <a:rPr lang="zh-CN" altLang="en-US" sz="9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Calibri" panose="020F0502020204030204"/>
                    <a:ea typeface="等线" panose="02010600030101010101" pitchFamily="2" charset="-122"/>
                  </a:rPr>
                  <a:t> </a:t>
                </a:r>
                <a:r>
                  <a:rPr lang="en-US" altLang="zh-CN" sz="9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Calibri" panose="020F0502020204030204"/>
                    <a:ea typeface="等线" panose="02010600030101010101" pitchFamily="2" charset="-122"/>
                  </a:rPr>
                  <a:t>(kWh)</a:t>
                </a:r>
                <a:endParaRPr lang="zh-CN" alt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  <a:ea typeface="等线" panose="02010600030101010101" pitchFamily="2" charset="-122"/>
                </a:endParaRPr>
              </a:p>
            </cx:rich>
          </cx:tx>
        </cx:title>
        <cx:majorGridlines/>
        <cx:tickLabels/>
      </cx:axis>
    </cx:plotArea>
  </cx:chart>
  <cx:spPr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_xlchart.v1.2</cx:f>
      </cx:strDim>
      <cx:numDim type="val">
        <cx:f dir="row">_xlchart.v1.3</cx:f>
      </cx:numDim>
    </cx:data>
  </cx:chartData>
  <cx:chart>
    <cx:plotArea>
      <cx:plotAreaRegion>
        <cx:series layoutId="clusteredColumn" uniqueId="{1CA1B56B-4E6C-4DBC-A3E3-B624A3D8717A}">
          <cx:spPr>
            <a:solidFill>
              <a:schemeClr val="accent2">
                <a:lumMod val="75000"/>
              </a:schemeClr>
            </a:solidFill>
          </cx:spPr>
          <cx:dataId val="0"/>
          <cx:layoutPr>
            <cx:aggregation/>
          </cx:layoutPr>
        </cx:series>
      </cx:plotAreaRegion>
      <cx:axis id="0">
        <cx:catScaling gapWidth="0"/>
        <cx:title>
          <cx:tx>
            <cx:rich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/>
                </a:pPr>
                <a:r>
                  <a:rPr lang="en-US" altLang="zh-CN" sz="9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Calibri" panose="020F0502020204030204"/>
                    <a:ea typeface="等线" panose="02010600030101010101" pitchFamily="2" charset="-122"/>
                  </a:rPr>
                  <a:t>Time</a:t>
                </a:r>
                <a:endParaRPr lang="zh-CN" alt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  <a:ea typeface="等线" panose="02010600030101010101" pitchFamily="2" charset="-122"/>
                </a:endParaRPr>
              </a:p>
            </cx:rich>
          </cx:tx>
        </cx:title>
        <cx:tickLabels/>
      </cx:axis>
      <cx:axis id="1">
        <cx:valScaling max="100"/>
        <cx:title>
          <cx:tx>
            <cx:rich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/>
                </a:pPr>
                <a:r>
                  <a:rPr lang="en-US" altLang="zh-CN" sz="9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Calibri" panose="020F0502020204030204"/>
                    <a:ea typeface="等线" panose="02010600030101010101" pitchFamily="2" charset="-122"/>
                  </a:rPr>
                  <a:t>Power demand (kWh)</a:t>
                </a:r>
                <a:endParaRPr lang="zh-CN" alt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  <a:ea typeface="等线" panose="02010600030101010101" pitchFamily="2" charset="-122"/>
                </a:endParaRPr>
              </a:p>
            </cx:rich>
          </cx:tx>
        </cx:title>
        <cx:majorGridlines/>
        <cx:tickLabels/>
      </cx:axis>
    </cx:plotArea>
  </cx:chart>
  <cx:spPr>
    <a:ln>
      <a:noFill/>
    </a:ln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_xlchart.v1.4</cx:f>
      </cx:strDim>
      <cx:numDim type="val">
        <cx:f dir="row">_xlchart.v1.5</cx:f>
      </cx:numDim>
    </cx:data>
  </cx:chartData>
  <cx:chart>
    <cx:plotArea>
      <cx:plotAreaRegion>
        <cx:series layoutId="clusteredColumn" uniqueId="{BC0B6AC4-9D29-4EDA-A67C-02EBBE22C44F}">
          <cx:spPr>
            <a:solidFill>
              <a:schemeClr val="accent1">
                <a:lumMod val="75000"/>
              </a:schemeClr>
            </a:solidFill>
          </cx:spPr>
          <cx:dataId val="0"/>
          <cx:layoutPr>
            <cx:aggregation/>
          </cx:layoutPr>
        </cx:series>
      </cx:plotAreaRegion>
      <cx:axis id="0">
        <cx:catScaling gapWidth="0"/>
        <cx:title>
          <cx:tx>
            <cx:rich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/>
                </a:pPr>
                <a:r>
                  <a:rPr lang="en-US" altLang="zh-CN" sz="9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Calibri" panose="020F0502020204030204"/>
                    <a:ea typeface="等线" panose="02010600030101010101" pitchFamily="2" charset="-122"/>
                  </a:rPr>
                  <a:t>Time</a:t>
                </a:r>
                <a:endParaRPr lang="zh-CN" alt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  <a:ea typeface="等线" panose="02010600030101010101" pitchFamily="2" charset="-122"/>
                </a:endParaRPr>
              </a:p>
            </cx:rich>
          </cx:tx>
        </cx:title>
        <cx:tickLabels/>
      </cx:axis>
      <cx:axis id="1">
        <cx:valScaling max="300"/>
        <cx:title>
          <cx:tx>
            <cx:rich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/>
                </a:pPr>
                <a:r>
                  <a:rPr lang="en-US" altLang="zh-CN" sz="9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Calibri" panose="020F0502020204030204"/>
                    <a:ea typeface="等线" panose="02010600030101010101" pitchFamily="2" charset="-122"/>
                  </a:rPr>
                  <a:t>Power Demand (kWh)</a:t>
                </a:r>
                <a:endParaRPr lang="zh-CN" alt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  <a:ea typeface="等线" panose="02010600030101010101" pitchFamily="2" charset="-122"/>
                </a:endParaRPr>
              </a:p>
            </cx:rich>
          </cx:tx>
        </cx:title>
        <cx:majorGridlines/>
        <cx:tickLabels/>
      </cx:axis>
    </cx:plotArea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microsoft.com/office/2014/relationships/chartEx" Target="../charts/chartEx2.xml"/><Relationship Id="rId2" Type="http://schemas.microsoft.com/office/2014/relationships/chartEx" Target="../charts/chartEx1.xml"/><Relationship Id="rId1" Type="http://schemas.openxmlformats.org/officeDocument/2006/relationships/chart" Target="../charts/chart1.xml"/><Relationship Id="rId5" Type="http://schemas.openxmlformats.org/officeDocument/2006/relationships/chart" Target="../charts/chart2.xml"/><Relationship Id="rId4" Type="http://schemas.microsoft.com/office/2014/relationships/chartEx" Target="../charts/chartEx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1885950</xdr:colOff>
          <xdr:row>4</xdr:row>
          <xdr:rowOff>304800</xdr:rowOff>
        </xdr:from>
        <xdr:to>
          <xdr:col>3</xdr:col>
          <xdr:colOff>1120</xdr:colOff>
          <xdr:row>8</xdr:row>
          <xdr:rowOff>177800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Run single modelling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971550</xdr:colOff>
          <xdr:row>5</xdr:row>
          <xdr:rowOff>12700</xdr:rowOff>
        </xdr:from>
        <xdr:to>
          <xdr:col>3</xdr:col>
          <xdr:colOff>69850</xdr:colOff>
          <xdr:row>8</xdr:row>
          <xdr:rowOff>241300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area‘s load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152400</xdr:colOff>
      <xdr:row>6</xdr:row>
      <xdr:rowOff>82556</xdr:rowOff>
    </xdr:from>
    <xdr:to>
      <xdr:col>12</xdr:col>
      <xdr:colOff>622300</xdr:colOff>
      <xdr:row>23</xdr:row>
      <xdr:rowOff>44450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103909</xdr:colOff>
      <xdr:row>8</xdr:row>
      <xdr:rowOff>103920</xdr:rowOff>
    </xdr:from>
    <xdr:to>
      <xdr:col>21</xdr:col>
      <xdr:colOff>69273</xdr:colOff>
      <xdr:row>24</xdr:row>
      <xdr:rowOff>76211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图表 3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49509" y="1850170"/>
              <a:ext cx="4588164" cy="281709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107950</xdr:colOff>
          <xdr:row>10</xdr:row>
          <xdr:rowOff>133350</xdr:rowOff>
        </xdr:from>
        <xdr:to>
          <xdr:col>3</xdr:col>
          <xdr:colOff>774700</xdr:colOff>
          <xdr:row>13</xdr:row>
          <xdr:rowOff>69850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slow charging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109681</xdr:colOff>
      <xdr:row>25</xdr:row>
      <xdr:rowOff>164606</xdr:rowOff>
    </xdr:from>
    <xdr:to>
      <xdr:col>21</xdr:col>
      <xdr:colOff>75045</xdr:colOff>
      <xdr:row>41</xdr:row>
      <xdr:rowOff>136896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图表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55281" y="4933456"/>
              <a:ext cx="4588164" cy="28170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14</xdr:col>
      <xdr:colOff>150090</xdr:colOff>
      <xdr:row>43</xdr:row>
      <xdr:rowOff>36945</xdr:rowOff>
    </xdr:from>
    <xdr:to>
      <xdr:col>21</xdr:col>
      <xdr:colOff>115454</xdr:colOff>
      <xdr:row>59</xdr:row>
      <xdr:rowOff>9236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图表 4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95690" y="8006195"/>
              <a:ext cx="4588164" cy="281709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5</xdr:col>
      <xdr:colOff>468313</xdr:colOff>
      <xdr:row>27</xdr:row>
      <xdr:rowOff>168275</xdr:rowOff>
    </xdr:from>
    <xdr:to>
      <xdr:col>12</xdr:col>
      <xdr:colOff>373063</xdr:colOff>
      <xdr:row>43</xdr:row>
      <xdr:rowOff>117475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2D85-8F10-4EA1-A371-995213644C79}">
  <sheetPr codeName="Sheet1"/>
  <dimension ref="A1:AP15"/>
  <sheetViews>
    <sheetView zoomScale="85" zoomScaleNormal="85" workbookViewId="0">
      <selection activeCell="F11" sqref="F11"/>
    </sheetView>
  </sheetViews>
  <sheetFormatPr defaultRowHeight="14" x14ac:dyDescent="0.3"/>
  <cols>
    <col min="1" max="1" width="17.58203125" customWidth="1"/>
    <col min="2" max="2" width="19.83203125" customWidth="1"/>
    <col min="3" max="3" width="11.58203125" style="2" customWidth="1"/>
    <col min="4" max="4" width="19.08203125" customWidth="1"/>
    <col min="5" max="5" width="16.83203125" customWidth="1"/>
    <col min="6" max="6" width="17.33203125" style="2" customWidth="1"/>
    <col min="7" max="7" width="18.33203125" style="2" customWidth="1"/>
    <col min="8" max="8" width="23.5" customWidth="1"/>
    <col min="9" max="9" width="17.08203125" customWidth="1"/>
    <col min="10" max="10" width="13.25" customWidth="1"/>
    <col min="11" max="11" width="15.25" customWidth="1"/>
    <col min="12" max="12" width="17.83203125" style="2" customWidth="1"/>
    <col min="13" max="13" width="15" style="2" customWidth="1"/>
    <col min="14" max="14" width="18.58203125" customWidth="1"/>
    <col min="15" max="15" width="24.33203125" customWidth="1"/>
    <col min="16" max="16" width="25" customWidth="1"/>
    <col min="17" max="17" width="18.58203125" customWidth="1"/>
    <col min="36" max="36" width="12.75" bestFit="1" customWidth="1"/>
  </cols>
  <sheetData>
    <row r="1" spans="1:42" x14ac:dyDescent="0.3">
      <c r="A1" t="s">
        <v>48</v>
      </c>
      <c r="B1" t="s">
        <v>4</v>
      </c>
      <c r="D1" t="s">
        <v>1</v>
      </c>
      <c r="E1" t="s">
        <v>2</v>
      </c>
      <c r="G1" t="s">
        <v>5</v>
      </c>
      <c r="H1" t="s">
        <v>10</v>
      </c>
      <c r="T1" s="1"/>
      <c r="V1" s="1"/>
      <c r="X1" s="1"/>
      <c r="Z1" s="1"/>
      <c r="AB1" s="1"/>
      <c r="AD1" s="1"/>
      <c r="AF1" s="1"/>
      <c r="AH1" s="1"/>
      <c r="AJ1" s="1"/>
      <c r="AL1" s="1"/>
      <c r="AN1" s="1"/>
      <c r="AP1" s="1"/>
    </row>
    <row r="2" spans="1:42" x14ac:dyDescent="0.3">
      <c r="A2">
        <v>3.4260000000000002</v>
      </c>
      <c r="B2">
        <v>0.30299999999999999</v>
      </c>
      <c r="D2">
        <v>380</v>
      </c>
      <c r="E2">
        <v>57.5</v>
      </c>
      <c r="G2">
        <v>1</v>
      </c>
      <c r="H2">
        <v>19</v>
      </c>
    </row>
    <row r="3" spans="1:42" x14ac:dyDescent="0.3">
      <c r="G3" t="s">
        <v>8</v>
      </c>
      <c r="H3" t="s">
        <v>11</v>
      </c>
    </row>
    <row r="4" spans="1:42" x14ac:dyDescent="0.3">
      <c r="A4" t="s">
        <v>50</v>
      </c>
      <c r="B4" t="s">
        <v>51</v>
      </c>
      <c r="D4" t="s">
        <v>49</v>
      </c>
      <c r="G4">
        <v>230</v>
      </c>
      <c r="H4">
        <v>1</v>
      </c>
    </row>
    <row r="5" spans="1:42" x14ac:dyDescent="0.3">
      <c r="A5">
        <v>32.200000000000003</v>
      </c>
      <c r="B5">
        <v>10</v>
      </c>
      <c r="D5">
        <f>E2*1000/D2</f>
        <v>151.31578947368422</v>
      </c>
      <c r="G5" t="s">
        <v>9</v>
      </c>
      <c r="H5" t="s">
        <v>12</v>
      </c>
    </row>
    <row r="6" spans="1:42" x14ac:dyDescent="0.3">
      <c r="G6">
        <v>32</v>
      </c>
      <c r="H6">
        <v>8</v>
      </c>
    </row>
    <row r="7" spans="1:42" x14ac:dyDescent="0.3">
      <c r="A7" t="s">
        <v>43</v>
      </c>
      <c r="G7"/>
      <c r="H7" t="s">
        <v>13</v>
      </c>
    </row>
    <row r="8" spans="1:42" x14ac:dyDescent="0.3">
      <c r="A8">
        <v>50</v>
      </c>
      <c r="G8"/>
      <c r="H8">
        <v>1</v>
      </c>
    </row>
    <row r="9" spans="1:42" x14ac:dyDescent="0.3">
      <c r="G9"/>
    </row>
    <row r="10" spans="1:42" x14ac:dyDescent="0.3">
      <c r="A10" t="s">
        <v>46</v>
      </c>
      <c r="G10"/>
    </row>
    <row r="11" spans="1:42" x14ac:dyDescent="0.3">
      <c r="A11">
        <v>97</v>
      </c>
    </row>
    <row r="13" spans="1:42" x14ac:dyDescent="0.3">
      <c r="A13" t="s">
        <v>67</v>
      </c>
    </row>
    <row r="14" spans="1:42" x14ac:dyDescent="0.3">
      <c r="A14" s="7">
        <v>1</v>
      </c>
    </row>
    <row r="15" spans="1:42" x14ac:dyDescent="0.3">
      <c r="A15">
        <v>0.55285376310348511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peatedModelling.RepeatedModelling">
                <anchor moveWithCells="1">
                  <from>
                    <xdr:col>1</xdr:col>
                    <xdr:colOff>1885950</xdr:colOff>
                    <xdr:row>4</xdr:row>
                    <xdr:rowOff>304800</xdr:rowOff>
                  </from>
                  <to>
                    <xdr:col>2</xdr:col>
                    <xdr:colOff>1289050</xdr:colOff>
                    <xdr:row>8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41AA-2BEB-42E9-9704-83A7109EDB77}">
  <sheetPr codeName="Sheet2"/>
  <dimension ref="A1:T98"/>
  <sheetViews>
    <sheetView zoomScale="70" zoomScaleNormal="70" workbookViewId="0">
      <pane ySplit="1" topLeftCell="A2" activePane="bottomLeft" state="frozen"/>
      <selection activeCell="D1" sqref="D1"/>
      <selection pane="bottomLeft" activeCell="A12" sqref="A12:XFD12"/>
    </sheetView>
  </sheetViews>
  <sheetFormatPr defaultRowHeight="14" x14ac:dyDescent="0.3"/>
  <cols>
    <col min="1" max="1" width="9.75" customWidth="1"/>
    <col min="2" max="2" width="10" customWidth="1"/>
    <col min="3" max="3" width="23.08203125" customWidth="1"/>
    <col min="4" max="4" width="16.08203125" customWidth="1"/>
    <col min="5" max="5" width="18.08203125" customWidth="1"/>
    <col min="6" max="6" width="25.25" customWidth="1"/>
    <col min="7" max="8" width="25" customWidth="1"/>
    <col min="9" max="9" width="38.08203125" customWidth="1"/>
    <col min="10" max="10" width="18.08203125" customWidth="1"/>
    <col min="11" max="11" width="19.58203125" customWidth="1"/>
    <col min="13" max="13" width="11.83203125" customWidth="1"/>
    <col min="14" max="14" width="24.08203125" customWidth="1"/>
    <col min="15" max="15" width="14.75" customWidth="1"/>
    <col min="16" max="17" width="15.33203125" customWidth="1"/>
  </cols>
  <sheetData>
    <row r="1" spans="1:20" x14ac:dyDescent="0.3">
      <c r="A1" t="s">
        <v>47</v>
      </c>
      <c r="B1" t="s">
        <v>45</v>
      </c>
      <c r="C1" t="s">
        <v>0</v>
      </c>
      <c r="D1" t="s">
        <v>3</v>
      </c>
      <c r="E1" t="s">
        <v>41</v>
      </c>
      <c r="F1" t="s">
        <v>42</v>
      </c>
      <c r="G1" t="s">
        <v>7</v>
      </c>
      <c r="H1" t="s">
        <v>6</v>
      </c>
      <c r="I1" t="s">
        <v>14</v>
      </c>
      <c r="J1" t="s">
        <v>15</v>
      </c>
      <c r="K1" t="s">
        <v>16</v>
      </c>
      <c r="M1" t="s">
        <v>52</v>
      </c>
      <c r="N1">
        <f>AVERAGE(D:D)</f>
        <v>0.91250697923343504</v>
      </c>
      <c r="P1" t="s">
        <v>53</v>
      </c>
      <c r="Q1">
        <f>AVERAGE(I:I)</f>
        <v>0.24033867771985495</v>
      </c>
      <c r="S1" t="s">
        <v>54</v>
      </c>
      <c r="T1">
        <f>AVERAGE(E:E)</f>
        <v>5.0308486940774904</v>
      </c>
    </row>
    <row r="2" spans="1:20" x14ac:dyDescent="0.3">
      <c r="A2">
        <v>1</v>
      </c>
      <c r="B2">
        <v>2</v>
      </c>
      <c r="C2">
        <v>34.327715104657024</v>
      </c>
      <c r="D2">
        <v>0.90966390761932359</v>
      </c>
      <c r="E2">
        <v>5.1943253118888935</v>
      </c>
      <c r="F2">
        <v>19.198370649698862</v>
      </c>
      <c r="G2">
        <v>9.1920359205515307</v>
      </c>
      <c r="H2">
        <v>7.36</v>
      </c>
      <c r="I2">
        <v>0</v>
      </c>
      <c r="J2">
        <v>6.4797094940917637</v>
      </c>
      <c r="K2">
        <v>0.80162935030113758</v>
      </c>
    </row>
    <row r="3" spans="1:20" x14ac:dyDescent="0.3">
      <c r="A3">
        <v>1</v>
      </c>
      <c r="B3">
        <v>2</v>
      </c>
      <c r="C3">
        <v>50.163546095729842</v>
      </c>
      <c r="D3">
        <v>0.86799066816913195</v>
      </c>
      <c r="E3">
        <v>7.5905365802749127</v>
      </c>
      <c r="F3">
        <v>20.957851581143952</v>
      </c>
      <c r="G3">
        <v>5.6470357568178935</v>
      </c>
      <c r="H3">
        <v>7.36</v>
      </c>
      <c r="I3">
        <v>4.2148418856047698E-2</v>
      </c>
      <c r="J3">
        <v>7.2803242174944014</v>
      </c>
      <c r="K3">
        <v>4.2148418856047698E-2</v>
      </c>
    </row>
    <row r="4" spans="1:20" x14ac:dyDescent="0.3">
      <c r="A4">
        <v>2</v>
      </c>
      <c r="B4">
        <v>5</v>
      </c>
      <c r="C4">
        <v>32.798396078786695</v>
      </c>
      <c r="D4">
        <v>0.91368843137161393</v>
      </c>
      <c r="E4">
        <v>4.9629151961321991</v>
      </c>
      <c r="F4">
        <v>19.445513097809059</v>
      </c>
      <c r="G4">
        <v>8.7659772764430475</v>
      </c>
      <c r="H4">
        <v>7.36</v>
      </c>
      <c r="I4">
        <v>0.55448690219094132</v>
      </c>
      <c r="J4">
        <v>0.88189159600687084</v>
      </c>
      <c r="K4">
        <v>0.55448690219094132</v>
      </c>
    </row>
    <row r="5" spans="1:20" x14ac:dyDescent="0.3">
      <c r="A5">
        <v>2</v>
      </c>
      <c r="B5">
        <v>5</v>
      </c>
      <c r="C5">
        <v>29.879748713111116</v>
      </c>
      <c r="D5">
        <v>0.92136908233391812</v>
      </c>
      <c r="E5">
        <v>4.5212777657997076</v>
      </c>
      <c r="F5">
        <v>19.728482934877654</v>
      </c>
      <c r="G5">
        <v>8.1444547667062839</v>
      </c>
      <c r="H5">
        <v>7.36</v>
      </c>
      <c r="I5">
        <v>0.27151706512234597</v>
      </c>
      <c r="J5">
        <v>2.5229121664992413</v>
      </c>
      <c r="K5">
        <v>0.27151706512234597</v>
      </c>
    </row>
    <row r="6" spans="1:20" x14ac:dyDescent="0.3">
      <c r="A6">
        <v>2</v>
      </c>
      <c r="B6">
        <v>5</v>
      </c>
      <c r="C6">
        <v>27.868452635994277</v>
      </c>
      <c r="D6">
        <v>0.92666196674738344</v>
      </c>
      <c r="E6">
        <v>4.2169369120254521</v>
      </c>
      <c r="F6">
        <v>17.486370834982097</v>
      </c>
      <c r="G6">
        <v>8.9312944741154965</v>
      </c>
      <c r="H6">
        <v>7.36</v>
      </c>
      <c r="I6">
        <v>0.51362916501790323</v>
      </c>
      <c r="J6">
        <v>0.43662625749368411</v>
      </c>
      <c r="K6">
        <v>0.51362916501790323</v>
      </c>
    </row>
    <row r="7" spans="1:20" x14ac:dyDescent="0.3">
      <c r="A7">
        <v>2</v>
      </c>
      <c r="B7">
        <v>5</v>
      </c>
      <c r="C7">
        <v>29.103994812155005</v>
      </c>
      <c r="D7">
        <v>0.92341053996801314</v>
      </c>
      <c r="E7">
        <v>4.4038939518392439</v>
      </c>
      <c r="F7">
        <v>18.452696821746823</v>
      </c>
      <c r="G7">
        <v>7.2094618027076214</v>
      </c>
      <c r="H7">
        <v>7.36</v>
      </c>
      <c r="I7">
        <v>0.54730317825317698</v>
      </c>
      <c r="J7">
        <v>0.37574255989586119</v>
      </c>
      <c r="K7">
        <v>0.54730317825317698</v>
      </c>
    </row>
    <row r="8" spans="1:20" x14ac:dyDescent="0.3">
      <c r="A8">
        <v>2</v>
      </c>
      <c r="B8">
        <v>5</v>
      </c>
      <c r="C8">
        <v>57.133686373849656</v>
      </c>
      <c r="D8">
        <v>0.84964819375302725</v>
      </c>
      <c r="E8">
        <v>8.6452288592009339</v>
      </c>
      <c r="F8">
        <v>18.888339248667755</v>
      </c>
      <c r="G8">
        <v>8.046171711422538</v>
      </c>
      <c r="H8">
        <v>7.36</v>
      </c>
      <c r="I8">
        <v>1.111660751332245</v>
      </c>
      <c r="J8">
        <v>0.46340572939561064</v>
      </c>
      <c r="K8">
        <v>0.11166075133224496</v>
      </c>
    </row>
    <row r="9" spans="1:20" x14ac:dyDescent="0.3">
      <c r="A9">
        <v>3</v>
      </c>
      <c r="B9">
        <v>2</v>
      </c>
      <c r="C9">
        <v>29.005281454046074</v>
      </c>
      <c r="D9">
        <v>0.92367031196303662</v>
      </c>
      <c r="E9">
        <v>4.3889570621253942</v>
      </c>
      <c r="F9">
        <v>20.590386365734307</v>
      </c>
      <c r="G9">
        <v>8.0738097714452337</v>
      </c>
      <c r="H9">
        <v>7.36</v>
      </c>
      <c r="I9">
        <v>0.40961363426569264</v>
      </c>
      <c r="J9">
        <v>1.3742007139298962</v>
      </c>
      <c r="K9">
        <v>0.40961363426569264</v>
      </c>
    </row>
    <row r="10" spans="1:20" x14ac:dyDescent="0.3">
      <c r="A10">
        <v>3</v>
      </c>
      <c r="B10">
        <v>2</v>
      </c>
      <c r="C10">
        <v>37.805314117013943</v>
      </c>
      <c r="D10">
        <v>0.90051233127101593</v>
      </c>
      <c r="E10">
        <v>5.7205409519165844</v>
      </c>
      <c r="F10">
        <v>19.344786809628509</v>
      </c>
      <c r="G10">
        <v>8.457025460716336</v>
      </c>
      <c r="H10">
        <v>7.36</v>
      </c>
      <c r="I10">
        <v>0.65521319037149084</v>
      </c>
      <c r="J10">
        <v>0.89817187078241167</v>
      </c>
      <c r="K10">
        <v>0.65521319037149084</v>
      </c>
    </row>
    <row r="11" spans="1:20" x14ac:dyDescent="0.3">
      <c r="A11">
        <v>4</v>
      </c>
      <c r="B11">
        <v>2</v>
      </c>
      <c r="C11">
        <v>29.242491918041789</v>
      </c>
      <c r="D11">
        <v>0.92304607389989002</v>
      </c>
      <c r="E11">
        <v>4.4248507507563239</v>
      </c>
      <c r="F11">
        <v>16.88908834690243</v>
      </c>
      <c r="G11">
        <v>7.8296548464919251</v>
      </c>
      <c r="H11">
        <v>7.36</v>
      </c>
      <c r="I11">
        <v>0.11091165309757045</v>
      </c>
      <c r="J11">
        <v>3.6085409839582052</v>
      </c>
      <c r="K11">
        <v>0.11091165309757045</v>
      </c>
    </row>
    <row r="12" spans="1:20" x14ac:dyDescent="0.3">
      <c r="A12">
        <v>4</v>
      </c>
      <c r="B12">
        <v>2</v>
      </c>
      <c r="C12">
        <v>45.390853212879264</v>
      </c>
      <c r="D12">
        <v>0.88055038628189664</v>
      </c>
      <c r="E12">
        <v>6.8683527887909435</v>
      </c>
      <c r="F12">
        <v>18.844310538496849</v>
      </c>
      <c r="G12">
        <v>9.7330046895292437</v>
      </c>
      <c r="H12">
        <v>7.36</v>
      </c>
      <c r="I12">
        <v>0.15568946150315099</v>
      </c>
      <c r="J12">
        <v>5.7224783521277525</v>
      </c>
      <c r="K12">
        <v>0.15568946150315099</v>
      </c>
    </row>
    <row r="13" spans="1:20" x14ac:dyDescent="0.3">
      <c r="A13">
        <v>5</v>
      </c>
      <c r="B13">
        <v>1</v>
      </c>
      <c r="C13">
        <v>43.848686031741238</v>
      </c>
      <c r="D13">
        <v>0.88460872096910204</v>
      </c>
      <c r="E13">
        <v>6.634998544276633</v>
      </c>
      <c r="F13">
        <v>18.975281134556134</v>
      </c>
      <c r="G13">
        <v>7.4074903408686854</v>
      </c>
      <c r="H13">
        <v>7.36</v>
      </c>
      <c r="I13">
        <v>2.4718865443865923E-2</v>
      </c>
      <c r="J13">
        <v>6.4530676946097802</v>
      </c>
      <c r="K13">
        <v>2.4718865443865923E-2</v>
      </c>
    </row>
    <row r="14" spans="1:20" x14ac:dyDescent="0.3">
      <c r="A14">
        <v>6</v>
      </c>
      <c r="B14">
        <v>2</v>
      </c>
      <c r="C14">
        <v>63.265051523252389</v>
      </c>
      <c r="D14">
        <v>0.83351302230723057</v>
      </c>
      <c r="E14">
        <v>9.5730012173342427</v>
      </c>
      <c r="F14">
        <v>18.538360245225348</v>
      </c>
      <c r="G14">
        <v>9.7773365342352729</v>
      </c>
      <c r="H14">
        <v>7.36</v>
      </c>
      <c r="I14">
        <v>0.46163975477465158</v>
      </c>
      <c r="J14">
        <v>6.1753326221928067</v>
      </c>
      <c r="K14">
        <v>0.46163975477465158</v>
      </c>
    </row>
    <row r="15" spans="1:20" x14ac:dyDescent="0.3">
      <c r="A15">
        <v>6</v>
      </c>
      <c r="B15">
        <v>2</v>
      </c>
      <c r="C15">
        <v>39.277689933173257</v>
      </c>
      <c r="D15">
        <v>0.8966376580705967</v>
      </c>
      <c r="E15">
        <v>5.9433346609406899</v>
      </c>
      <c r="F15">
        <v>18.747201876930262</v>
      </c>
      <c r="G15">
        <v>8.1346512836356144</v>
      </c>
      <c r="H15">
        <v>7.36</v>
      </c>
      <c r="I15">
        <v>0.25279812306973781</v>
      </c>
      <c r="J15">
        <v>4.0827404751474194</v>
      </c>
      <c r="K15">
        <v>0.25279812306973781</v>
      </c>
    </row>
    <row r="16" spans="1:20" x14ac:dyDescent="0.3">
      <c r="A16">
        <v>7</v>
      </c>
      <c r="B16">
        <v>3</v>
      </c>
      <c r="C16">
        <v>19.846912635801814</v>
      </c>
      <c r="D16">
        <v>0.94777128253736365</v>
      </c>
      <c r="E16">
        <v>3.0031512541015903</v>
      </c>
      <c r="F16">
        <v>18.726575374018914</v>
      </c>
      <c r="G16">
        <v>10.14031644706537</v>
      </c>
      <c r="H16">
        <v>7.36</v>
      </c>
      <c r="I16">
        <v>0.27342462598108597</v>
      </c>
      <c r="J16">
        <v>0.9907460068807975</v>
      </c>
      <c r="K16">
        <v>0.27342462598108597</v>
      </c>
    </row>
    <row r="17" spans="1:11" x14ac:dyDescent="0.3">
      <c r="A17">
        <v>7</v>
      </c>
      <c r="B17">
        <v>3</v>
      </c>
      <c r="C17">
        <v>24.358289400491088</v>
      </c>
      <c r="D17">
        <v>0.9358992384197603</v>
      </c>
      <c r="E17">
        <v>3.6857937908637823</v>
      </c>
      <c r="F17">
        <v>19.413978638060328</v>
      </c>
      <c r="G17">
        <v>7.487653902908308</v>
      </c>
      <c r="H17">
        <v>7.36</v>
      </c>
      <c r="I17">
        <v>0</v>
      </c>
      <c r="J17">
        <v>6.2895212192678027</v>
      </c>
      <c r="K17">
        <v>0.58602136193967169</v>
      </c>
    </row>
    <row r="18" spans="1:11" x14ac:dyDescent="0.3">
      <c r="A18">
        <v>7</v>
      </c>
      <c r="B18">
        <v>3</v>
      </c>
      <c r="C18">
        <v>21.157711292734902</v>
      </c>
      <c r="D18">
        <v>0.94432181238753976</v>
      </c>
      <c r="E18">
        <v>3.2014957877164636</v>
      </c>
      <c r="F18">
        <v>18.657046159461323</v>
      </c>
      <c r="G18">
        <v>7.5688932827254076</v>
      </c>
      <c r="H18">
        <v>7.36</v>
      </c>
      <c r="I18">
        <v>0.3429538405386765</v>
      </c>
      <c r="J18">
        <v>0.67735552135180443</v>
      </c>
      <c r="K18">
        <v>0.3429538405386765</v>
      </c>
    </row>
    <row r="19" spans="1:11" x14ac:dyDescent="0.3">
      <c r="A19">
        <v>8</v>
      </c>
      <c r="B19">
        <v>1</v>
      </c>
      <c r="C19">
        <v>27.504429682720762</v>
      </c>
      <c r="D19">
        <v>0.92761992188757691</v>
      </c>
      <c r="E19">
        <v>4.161854491464327</v>
      </c>
      <c r="F19">
        <v>17.651144249903219</v>
      </c>
      <c r="G19">
        <v>9.6855625731928807</v>
      </c>
      <c r="H19">
        <v>7.36</v>
      </c>
      <c r="I19">
        <v>0.34885575009678149</v>
      </c>
      <c r="J19">
        <v>1.594276170752015</v>
      </c>
      <c r="K19">
        <v>0.34885575009678149</v>
      </c>
    </row>
    <row r="20" spans="1:11" x14ac:dyDescent="0.3">
      <c r="A20">
        <v>9</v>
      </c>
      <c r="B20">
        <v>2</v>
      </c>
      <c r="C20">
        <v>25.524052133053395</v>
      </c>
      <c r="D20">
        <v>0.93283144175512267</v>
      </c>
      <c r="E20">
        <v>3.8621920990804464</v>
      </c>
      <c r="F20">
        <v>17.339426501654167</v>
      </c>
      <c r="G20">
        <v>7.7889596949277884</v>
      </c>
      <c r="H20">
        <v>7.36</v>
      </c>
      <c r="I20">
        <v>0</v>
      </c>
      <c r="J20">
        <v>5.8467257750301895</v>
      </c>
      <c r="K20">
        <v>0.66057349834583334</v>
      </c>
    </row>
    <row r="21" spans="1:11" x14ac:dyDescent="0.3">
      <c r="A21">
        <v>9</v>
      </c>
      <c r="B21">
        <v>2</v>
      </c>
      <c r="C21">
        <v>36.276992338003019</v>
      </c>
      <c r="D21">
        <v>0.9045342306894657</v>
      </c>
      <c r="E21">
        <v>5.4892817353557222</v>
      </c>
      <c r="F21">
        <v>18.323867370855591</v>
      </c>
      <c r="G21">
        <v>8.0464249281898628</v>
      </c>
      <c r="H21">
        <v>7.36</v>
      </c>
      <c r="I21">
        <v>0.67613262914440853</v>
      </c>
      <c r="J21">
        <v>0.51294558485287522</v>
      </c>
      <c r="K21">
        <v>0.67613262914440853</v>
      </c>
    </row>
    <row r="22" spans="1:11" x14ac:dyDescent="0.3">
      <c r="A22">
        <v>10</v>
      </c>
      <c r="B22">
        <v>2</v>
      </c>
      <c r="C22">
        <v>42.782702506899071</v>
      </c>
      <c r="D22">
        <v>0.88741394077131819</v>
      </c>
      <c r="E22">
        <v>6.4736984056492037</v>
      </c>
      <c r="F22">
        <v>19.884990170332262</v>
      </c>
      <c r="G22">
        <v>7.8428823289356426</v>
      </c>
      <c r="H22">
        <v>7.36</v>
      </c>
      <c r="I22">
        <v>0.11500982966773776</v>
      </c>
      <c r="J22">
        <v>5.6272260592946539</v>
      </c>
      <c r="K22">
        <v>0.11500982966773776</v>
      </c>
    </row>
    <row r="23" spans="1:11" x14ac:dyDescent="0.3">
      <c r="A23">
        <v>10</v>
      </c>
      <c r="B23">
        <v>2</v>
      </c>
      <c r="C23">
        <v>40.617507781982972</v>
      </c>
      <c r="D23">
        <v>0.8931118216263606</v>
      </c>
      <c r="E23">
        <v>6.1460702564842657</v>
      </c>
      <c r="F23">
        <v>19.138932663155472</v>
      </c>
      <c r="G23">
        <v>8.2518820917065465</v>
      </c>
      <c r="H23">
        <v>7.36</v>
      </c>
      <c r="I23">
        <v>0</v>
      </c>
      <c r="J23">
        <v>7.1377347548766519</v>
      </c>
      <c r="K23">
        <v>0.86106733684452763</v>
      </c>
    </row>
    <row r="24" spans="1:11" x14ac:dyDescent="0.3">
      <c r="A24">
        <v>11</v>
      </c>
      <c r="B24">
        <v>2</v>
      </c>
      <c r="C24">
        <v>49.991429048873435</v>
      </c>
      <c r="D24">
        <v>0.86844360776612251</v>
      </c>
      <c r="E24">
        <v>7.5644925534479563</v>
      </c>
      <c r="F24">
        <v>18.0376106343023</v>
      </c>
      <c r="G24">
        <v>8.6346352138947324</v>
      </c>
      <c r="H24">
        <v>7.36</v>
      </c>
      <c r="I24">
        <v>0.96238936569769962</v>
      </c>
      <c r="J24">
        <v>0.48130682191288687</v>
      </c>
      <c r="K24">
        <v>0.96238936569769962</v>
      </c>
    </row>
    <row r="25" spans="1:11" x14ac:dyDescent="0.3">
      <c r="A25">
        <v>11</v>
      </c>
      <c r="B25">
        <v>2</v>
      </c>
      <c r="C25">
        <v>23.743362335627843</v>
      </c>
      <c r="D25">
        <v>0.9375174675378215</v>
      </c>
      <c r="E25">
        <v>3.5927456165752636</v>
      </c>
      <c r="F25">
        <v>18.5168741573689</v>
      </c>
      <c r="G25">
        <v>9.0298667272793143</v>
      </c>
      <c r="H25">
        <v>7.36</v>
      </c>
      <c r="I25">
        <v>0.48312584263110026</v>
      </c>
      <c r="J25">
        <v>3.6939414810365556E-2</v>
      </c>
      <c r="K25">
        <v>0.48312584263110026</v>
      </c>
    </row>
    <row r="26" spans="1:11" x14ac:dyDescent="0.3">
      <c r="A26">
        <v>12</v>
      </c>
      <c r="B26">
        <v>2</v>
      </c>
      <c r="C26">
        <v>23.207988146227905</v>
      </c>
      <c r="D26">
        <v>0.93892634698361077</v>
      </c>
      <c r="E26">
        <v>3.5117350484423806</v>
      </c>
      <c r="F26">
        <v>20.257637414561401</v>
      </c>
      <c r="G26">
        <v>8.6133723344022268</v>
      </c>
      <c r="H26">
        <v>7.36</v>
      </c>
      <c r="I26">
        <v>0</v>
      </c>
      <c r="J26">
        <v>4.7304849642544893</v>
      </c>
      <c r="K26">
        <v>0.7423625854385989</v>
      </c>
    </row>
    <row r="27" spans="1:11" x14ac:dyDescent="0.3">
      <c r="A27">
        <v>12</v>
      </c>
      <c r="B27">
        <v>2</v>
      </c>
      <c r="C27">
        <v>21.620072222886542</v>
      </c>
      <c r="D27">
        <v>0.943105073097667</v>
      </c>
      <c r="E27">
        <v>3.2714582968841475</v>
      </c>
      <c r="F27">
        <v>18.574815713607915</v>
      </c>
      <c r="G27">
        <v>8.9485819387081555</v>
      </c>
      <c r="H27">
        <v>7.36</v>
      </c>
      <c r="I27">
        <v>0.42518428639208494</v>
      </c>
      <c r="J27">
        <v>0.14210194903840215</v>
      </c>
      <c r="K27">
        <v>0.42518428639208494</v>
      </c>
    </row>
    <row r="28" spans="1:11" x14ac:dyDescent="0.3">
      <c r="A28">
        <v>13</v>
      </c>
      <c r="B28">
        <v>1</v>
      </c>
      <c r="C28">
        <v>28.089266014590223</v>
      </c>
      <c r="D28">
        <v>0.92608087890897306</v>
      </c>
      <c r="E28">
        <v>4.2503494627340492</v>
      </c>
      <c r="F28">
        <v>18.958447906890189</v>
      </c>
      <c r="G28">
        <v>6.2179232357468708</v>
      </c>
      <c r="H28">
        <v>7.36</v>
      </c>
      <c r="I28">
        <v>4.1552093109810784E-2</v>
      </c>
      <c r="J28">
        <v>3.9445260574458421</v>
      </c>
      <c r="K28">
        <v>4.1552093109810784E-2</v>
      </c>
    </row>
    <row r="29" spans="1:11" x14ac:dyDescent="0.3">
      <c r="A29">
        <v>14</v>
      </c>
      <c r="B29">
        <v>1</v>
      </c>
      <c r="C29">
        <v>55.997165144132069</v>
      </c>
      <c r="D29">
        <v>0.85263903909438932</v>
      </c>
      <c r="E29">
        <v>8.4732552520726134</v>
      </c>
      <c r="F29">
        <v>18.606342532816655</v>
      </c>
      <c r="G29">
        <v>7.1645168329334643</v>
      </c>
      <c r="H29">
        <v>7.36</v>
      </c>
      <c r="I29">
        <v>0.39365746718334549</v>
      </c>
      <c r="J29">
        <v>5.5759362936031902</v>
      </c>
      <c r="K29">
        <v>0.39365746718334549</v>
      </c>
    </row>
    <row r="30" spans="1:11" x14ac:dyDescent="0.3">
      <c r="A30">
        <v>15</v>
      </c>
      <c r="B30">
        <v>2</v>
      </c>
      <c r="C30">
        <v>16.790362444672446</v>
      </c>
      <c r="D30">
        <v>0.95581483567191461</v>
      </c>
      <c r="E30">
        <v>2.5406469488649099</v>
      </c>
      <c r="F30">
        <v>17.700508116177822</v>
      </c>
      <c r="G30">
        <v>7.2197406628388476</v>
      </c>
      <c r="H30">
        <v>7.36</v>
      </c>
      <c r="I30">
        <v>0.29949188382217784</v>
      </c>
      <c r="J30">
        <v>0.33638668393368093</v>
      </c>
      <c r="K30">
        <v>0.29949188382217784</v>
      </c>
    </row>
    <row r="31" spans="1:11" x14ac:dyDescent="0.3">
      <c r="A31">
        <v>15</v>
      </c>
      <c r="B31">
        <v>2</v>
      </c>
      <c r="C31">
        <v>32.761816695262183</v>
      </c>
      <c r="D31">
        <v>0.91378469290720477</v>
      </c>
      <c r="E31">
        <v>4.9573801578357264</v>
      </c>
      <c r="F31">
        <v>18.115593406015002</v>
      </c>
      <c r="G31">
        <v>9.1815652729189132</v>
      </c>
      <c r="H31">
        <v>7.36</v>
      </c>
      <c r="I31">
        <v>0</v>
      </c>
      <c r="J31">
        <v>5.6053179516658096</v>
      </c>
      <c r="K31">
        <v>0.88440659398499832</v>
      </c>
    </row>
    <row r="32" spans="1:11" x14ac:dyDescent="0.3">
      <c r="A32">
        <v>16</v>
      </c>
      <c r="B32">
        <v>1</v>
      </c>
      <c r="C32">
        <v>40.18287579632603</v>
      </c>
      <c r="D32">
        <v>0.89425559000966837</v>
      </c>
      <c r="E32">
        <v>6.080303574444069</v>
      </c>
      <c r="F32">
        <v>20.872697716402048</v>
      </c>
      <c r="G32">
        <v>7.5441565937195785</v>
      </c>
      <c r="H32">
        <v>7.36</v>
      </c>
      <c r="I32">
        <v>0.12730228359795248</v>
      </c>
      <c r="J32">
        <v>5.1433587671631384</v>
      </c>
      <c r="K32">
        <v>0.12730228359795248</v>
      </c>
    </row>
    <row r="33" spans="1:11" x14ac:dyDescent="0.3">
      <c r="A33">
        <v>17</v>
      </c>
      <c r="B33">
        <v>4</v>
      </c>
      <c r="C33">
        <v>38.299377347784045</v>
      </c>
      <c r="D33">
        <v>0.89921216487425248</v>
      </c>
      <c r="E33">
        <v>5.7953005197304819</v>
      </c>
      <c r="F33">
        <v>19.171481583820473</v>
      </c>
      <c r="G33">
        <v>8.2063967937285742</v>
      </c>
      <c r="H33">
        <v>7.36</v>
      </c>
      <c r="I33">
        <v>0</v>
      </c>
      <c r="J33">
        <v>6.9947757425282502</v>
      </c>
      <c r="K33">
        <v>0.82851841617952715</v>
      </c>
    </row>
    <row r="34" spans="1:11" x14ac:dyDescent="0.3">
      <c r="A34">
        <v>17</v>
      </c>
      <c r="B34">
        <v>4</v>
      </c>
      <c r="C34">
        <v>30.3757569679676</v>
      </c>
      <c r="D34">
        <v>0.92006379745271683</v>
      </c>
      <c r="E34">
        <v>4.5963316464687827</v>
      </c>
      <c r="F34">
        <v>19.284381493176671</v>
      </c>
      <c r="G34">
        <v>6.744837695402933</v>
      </c>
      <c r="H34">
        <v>7.36</v>
      </c>
      <c r="I34">
        <v>0</v>
      </c>
      <c r="J34">
        <v>6.4228797922962579</v>
      </c>
      <c r="K34">
        <v>0.71561850682332917</v>
      </c>
    </row>
    <row r="35" spans="1:11" x14ac:dyDescent="0.3">
      <c r="A35">
        <v>17</v>
      </c>
      <c r="B35">
        <v>4</v>
      </c>
      <c r="C35">
        <v>36.76074902908671</v>
      </c>
      <c r="D35">
        <v>0.90326118676556133</v>
      </c>
      <c r="E35">
        <v>5.5624817609802237</v>
      </c>
      <c r="F35">
        <v>20.950767102954387</v>
      </c>
      <c r="G35">
        <v>6.1878597472254562</v>
      </c>
      <c r="H35">
        <v>7.36</v>
      </c>
      <c r="I35">
        <v>4.9232897045612845E-2</v>
      </c>
      <c r="J35">
        <v>5.2001276387245134</v>
      </c>
      <c r="K35">
        <v>4.9232897045612845E-2</v>
      </c>
    </row>
    <row r="36" spans="1:11" x14ac:dyDescent="0.3">
      <c r="A36">
        <v>17</v>
      </c>
      <c r="B36">
        <v>4</v>
      </c>
      <c r="C36">
        <v>22.901131044042526</v>
      </c>
      <c r="D36">
        <v>0.93973386567357231</v>
      </c>
      <c r="E36">
        <v>3.4653027237695921</v>
      </c>
      <c r="F36">
        <v>20.362633041921715</v>
      </c>
      <c r="G36">
        <v>8.4164398936805309</v>
      </c>
      <c r="H36">
        <v>7.36</v>
      </c>
      <c r="I36">
        <v>0</v>
      </c>
      <c r="J36">
        <v>5.4369036233346169</v>
      </c>
      <c r="K36">
        <v>0.63736695807828525</v>
      </c>
    </row>
    <row r="37" spans="1:11" x14ac:dyDescent="0.3">
      <c r="A37">
        <v>18</v>
      </c>
      <c r="B37">
        <v>3</v>
      </c>
      <c r="C37">
        <v>32.362344100467951</v>
      </c>
      <c r="D37">
        <v>0.91483593657771589</v>
      </c>
      <c r="E37">
        <v>4.8969336467813367</v>
      </c>
      <c r="F37">
        <v>19.340770649077964</v>
      </c>
      <c r="G37">
        <v>7.7875410019776234</v>
      </c>
      <c r="H37">
        <v>7.36</v>
      </c>
      <c r="I37">
        <v>0.65922935092203616</v>
      </c>
      <c r="J37">
        <v>4.5005623995150332E-2</v>
      </c>
      <c r="K37">
        <v>0.65922935092203616</v>
      </c>
    </row>
    <row r="38" spans="1:11" x14ac:dyDescent="0.3">
      <c r="A38">
        <v>18</v>
      </c>
      <c r="B38">
        <v>3</v>
      </c>
      <c r="C38">
        <v>27.200994730324126</v>
      </c>
      <c r="D38">
        <v>0.92841843492019971</v>
      </c>
      <c r="E38">
        <v>4.1159399920885171</v>
      </c>
      <c r="F38">
        <v>19.80090826934558</v>
      </c>
      <c r="G38">
        <v>8.6831348782616651</v>
      </c>
      <c r="H38">
        <v>7.36</v>
      </c>
      <c r="I38">
        <v>0.19909173065441976</v>
      </c>
      <c r="J38">
        <v>2.6506248544719875</v>
      </c>
      <c r="K38">
        <v>0.19909173065441976</v>
      </c>
    </row>
    <row r="39" spans="1:11" x14ac:dyDescent="0.3">
      <c r="A39">
        <v>18</v>
      </c>
      <c r="B39">
        <v>3</v>
      </c>
      <c r="C39">
        <v>32.205645333620261</v>
      </c>
      <c r="D39">
        <v>0.91524830175363092</v>
      </c>
      <c r="E39">
        <v>4.8732226491662223</v>
      </c>
      <c r="F39">
        <v>18.264121280684034</v>
      </c>
      <c r="G39">
        <v>7.7139332578254596</v>
      </c>
      <c r="H39">
        <v>7.36</v>
      </c>
      <c r="I39">
        <v>0</v>
      </c>
      <c r="J39">
        <v>6.6223176744343286</v>
      </c>
      <c r="K39">
        <v>0.73587871931596638</v>
      </c>
    </row>
    <row r="40" spans="1:11" x14ac:dyDescent="0.3">
      <c r="A40">
        <v>19</v>
      </c>
      <c r="B40">
        <v>1</v>
      </c>
      <c r="C40">
        <v>34.843906417921986</v>
      </c>
      <c r="D40">
        <v>0.90830550942652111</v>
      </c>
      <c r="E40">
        <v>5.2724332079750367</v>
      </c>
      <c r="F40">
        <v>17.191835868661727</v>
      </c>
      <c r="G40">
        <v>8.2645313500377267</v>
      </c>
      <c r="H40">
        <v>7.36</v>
      </c>
      <c r="I40">
        <v>0</v>
      </c>
      <c r="J40">
        <v>6.5239633924908187</v>
      </c>
      <c r="K40">
        <v>0.80816413133827325</v>
      </c>
    </row>
    <row r="41" spans="1:11" x14ac:dyDescent="0.3">
      <c r="A41">
        <v>20</v>
      </c>
      <c r="B41">
        <v>3</v>
      </c>
      <c r="C41">
        <v>44.829361888137562</v>
      </c>
      <c r="D41">
        <v>0.88202799503121698</v>
      </c>
      <c r="E41">
        <v>6.7833902857050239</v>
      </c>
      <c r="F41">
        <v>17.828249211992031</v>
      </c>
      <c r="G41">
        <v>7.083576580665925</v>
      </c>
      <c r="H41">
        <v>7.36</v>
      </c>
      <c r="I41">
        <v>0.17175078800796939</v>
      </c>
      <c r="J41">
        <v>5.5193044859663694</v>
      </c>
      <c r="K41">
        <v>0.17175078800796939</v>
      </c>
    </row>
    <row r="42" spans="1:11" x14ac:dyDescent="0.3">
      <c r="A42">
        <v>20</v>
      </c>
      <c r="B42">
        <v>3</v>
      </c>
      <c r="C42">
        <v>22.612089232519242</v>
      </c>
      <c r="D42">
        <v>0.94049450201968621</v>
      </c>
      <c r="E42">
        <v>3.4215661338680432</v>
      </c>
      <c r="F42">
        <v>19.337591348640846</v>
      </c>
      <c r="G42">
        <v>5.3321959919767448</v>
      </c>
      <c r="H42">
        <v>7.36</v>
      </c>
      <c r="I42">
        <v>0</v>
      </c>
      <c r="J42">
        <v>5.1653403482088418</v>
      </c>
      <c r="K42">
        <v>0.66240865135915428</v>
      </c>
    </row>
    <row r="43" spans="1:11" x14ac:dyDescent="0.3">
      <c r="A43">
        <v>20</v>
      </c>
      <c r="B43">
        <v>3</v>
      </c>
      <c r="C43">
        <v>38.761296502309527</v>
      </c>
      <c r="D43">
        <v>0.89799658815181704</v>
      </c>
      <c r="E43">
        <v>5.8651961812705196</v>
      </c>
      <c r="F43">
        <v>19.960309640061098</v>
      </c>
      <c r="G43">
        <v>7.8887489185550237</v>
      </c>
      <c r="H43">
        <v>7.36</v>
      </c>
      <c r="I43">
        <v>3.969035993890202E-2</v>
      </c>
      <c r="J43">
        <v>5.5730751321202003</v>
      </c>
      <c r="K43">
        <v>3.969035993890202E-2</v>
      </c>
    </row>
    <row r="44" spans="1:11" x14ac:dyDescent="0.3">
      <c r="A44">
        <v>21</v>
      </c>
      <c r="B44">
        <v>2</v>
      </c>
      <c r="C44">
        <v>19.946997854060886</v>
      </c>
      <c r="D44">
        <v>0.94750790038405031</v>
      </c>
      <c r="E44">
        <v>3.0182957279171072</v>
      </c>
      <c r="F44">
        <v>19.754464515386893</v>
      </c>
      <c r="G44">
        <v>8.1077476185815005</v>
      </c>
      <c r="H44">
        <v>7.36</v>
      </c>
      <c r="I44">
        <v>0.24553548461310726</v>
      </c>
      <c r="J44">
        <v>1.2111545611646377</v>
      </c>
      <c r="K44">
        <v>0.24553548461310726</v>
      </c>
    </row>
    <row r="45" spans="1:11" x14ac:dyDescent="0.3">
      <c r="A45">
        <v>21</v>
      </c>
      <c r="B45">
        <v>2</v>
      </c>
      <c r="C45">
        <v>33.025828233238236</v>
      </c>
      <c r="D45">
        <v>0.91308992570200465</v>
      </c>
      <c r="E45">
        <v>4.9973292721347331</v>
      </c>
      <c r="F45">
        <v>19.242136271222268</v>
      </c>
      <c r="G45">
        <v>7.2243384074512065</v>
      </c>
      <c r="H45">
        <v>7.36</v>
      </c>
      <c r="I45">
        <v>0</v>
      </c>
      <c r="J45">
        <v>6.5939681269538131</v>
      </c>
      <c r="K45">
        <v>0.75786372877773189</v>
      </c>
    </row>
    <row r="46" spans="1:11" x14ac:dyDescent="0.3">
      <c r="A46">
        <v>22</v>
      </c>
      <c r="B46">
        <v>3</v>
      </c>
      <c r="C46">
        <v>32.935978390597043</v>
      </c>
      <c r="D46">
        <v>0.91332637265632355</v>
      </c>
      <c r="E46">
        <v>4.9837335722613956</v>
      </c>
      <c r="F46">
        <v>18.973989695911825</v>
      </c>
      <c r="G46">
        <v>8.1869171680005426</v>
      </c>
      <c r="H46">
        <v>7.36</v>
      </c>
      <c r="I46">
        <v>2.6010304088174507E-2</v>
      </c>
      <c r="J46">
        <v>4.7922977341724309</v>
      </c>
      <c r="K46">
        <v>2.6010304088174507E-2</v>
      </c>
    </row>
    <row r="47" spans="1:11" x14ac:dyDescent="0.3">
      <c r="A47">
        <v>22</v>
      </c>
      <c r="B47">
        <v>3</v>
      </c>
      <c r="C47">
        <v>27.453575055984249</v>
      </c>
      <c r="D47">
        <v>0.927753749852673</v>
      </c>
      <c r="E47">
        <v>4.1541593834713026</v>
      </c>
      <c r="F47">
        <v>19.31653203231156</v>
      </c>
      <c r="G47">
        <v>6.9036984574301128</v>
      </c>
      <c r="H47">
        <v>7.36</v>
      </c>
      <c r="I47">
        <v>0</v>
      </c>
      <c r="J47">
        <v>6.0780600991749534</v>
      </c>
      <c r="K47">
        <v>0.68346796768843987</v>
      </c>
    </row>
    <row r="48" spans="1:11" x14ac:dyDescent="0.3">
      <c r="A48">
        <v>22</v>
      </c>
      <c r="B48">
        <v>3</v>
      </c>
      <c r="C48">
        <v>32.049006076027467</v>
      </c>
      <c r="D48">
        <v>0.91566051032624352</v>
      </c>
      <c r="E48">
        <v>4.8495206562409976</v>
      </c>
      <c r="F48">
        <v>19.495573618640407</v>
      </c>
      <c r="G48">
        <v>7.124271967677875</v>
      </c>
      <c r="H48">
        <v>7.36</v>
      </c>
      <c r="I48">
        <v>0.50442638135959328</v>
      </c>
      <c r="J48">
        <v>1.1369424894343909</v>
      </c>
      <c r="K48">
        <v>0.50442638135959328</v>
      </c>
    </row>
    <row r="49" spans="1:11" x14ac:dyDescent="0.3">
      <c r="A49">
        <v>23</v>
      </c>
      <c r="B49">
        <v>2</v>
      </c>
      <c r="C49">
        <v>28.032498937471743</v>
      </c>
      <c r="D49">
        <v>0.92623026595402169</v>
      </c>
      <c r="E49">
        <v>4.2417597076437525</v>
      </c>
      <c r="F49">
        <v>18.923360088442632</v>
      </c>
      <c r="G49">
        <v>5.9274336669329273</v>
      </c>
      <c r="H49">
        <v>7.36</v>
      </c>
      <c r="I49">
        <v>7.6639911557368379E-2</v>
      </c>
      <c r="J49">
        <v>3.6776899585815213</v>
      </c>
      <c r="K49">
        <v>7.6639911557368379E-2</v>
      </c>
    </row>
    <row r="50" spans="1:11" x14ac:dyDescent="0.3">
      <c r="A50">
        <v>23</v>
      </c>
      <c r="B50">
        <v>2</v>
      </c>
      <c r="C50">
        <v>20.542857152513829</v>
      </c>
      <c r="D50">
        <v>0.94593984959864785</v>
      </c>
      <c r="E50">
        <v>3.1084586480777485</v>
      </c>
      <c r="F50">
        <v>19.237171375532675</v>
      </c>
      <c r="G50">
        <v>6.8207910578487807</v>
      </c>
      <c r="H50">
        <v>7.36</v>
      </c>
      <c r="I50">
        <v>0</v>
      </c>
      <c r="J50">
        <v>4.0749108625129953</v>
      </c>
      <c r="K50">
        <v>0.7628286244673248</v>
      </c>
    </row>
    <row r="51" spans="1:11" x14ac:dyDescent="0.3">
      <c r="A51">
        <v>24</v>
      </c>
      <c r="B51">
        <v>2</v>
      </c>
      <c r="C51">
        <v>20.38694155310484</v>
      </c>
      <c r="D51">
        <v>0.94635015380761889</v>
      </c>
      <c r="E51">
        <v>3.0848661560619139</v>
      </c>
      <c r="F51">
        <v>20.580714990797745</v>
      </c>
      <c r="G51">
        <v>7.3176064140077219</v>
      </c>
      <c r="H51">
        <v>7.36</v>
      </c>
      <c r="I51">
        <v>0</v>
      </c>
      <c r="J51">
        <v>7.3574444312504186</v>
      </c>
      <c r="K51">
        <v>0.41928500920225531</v>
      </c>
    </row>
    <row r="52" spans="1:11" x14ac:dyDescent="0.3">
      <c r="A52">
        <v>24</v>
      </c>
      <c r="B52">
        <v>2</v>
      </c>
      <c r="C52">
        <v>34.377769873171637</v>
      </c>
      <c r="D52">
        <v>0.90953218454428519</v>
      </c>
      <c r="E52">
        <v>5.2018993887036018</v>
      </c>
      <c r="F52">
        <v>20.950179462933558</v>
      </c>
      <c r="G52">
        <v>7.4897085719407741</v>
      </c>
      <c r="H52">
        <v>7.36</v>
      </c>
      <c r="I52">
        <v>4.9820537066441517E-2</v>
      </c>
      <c r="J52">
        <v>4.8352202358945924</v>
      </c>
      <c r="K52">
        <v>4.9820537066441517E-2</v>
      </c>
    </row>
    <row r="53" spans="1:11" x14ac:dyDescent="0.3">
      <c r="A53">
        <v>25</v>
      </c>
      <c r="B53">
        <v>2</v>
      </c>
      <c r="C53">
        <v>34.374558171844832</v>
      </c>
      <c r="D53">
        <v>0.90954063638988203</v>
      </c>
      <c r="E53">
        <v>5.2014134075817831</v>
      </c>
      <c r="F53">
        <v>19.19859556087161</v>
      </c>
      <c r="G53">
        <v>6.8135971876180168</v>
      </c>
      <c r="H53">
        <v>7.36</v>
      </c>
      <c r="I53">
        <v>0</v>
      </c>
      <c r="J53">
        <v>6.4903725929430269</v>
      </c>
      <c r="K53">
        <v>0.80140443912839032</v>
      </c>
    </row>
    <row r="54" spans="1:11" x14ac:dyDescent="0.3">
      <c r="A54">
        <v>25</v>
      </c>
      <c r="B54">
        <v>2</v>
      </c>
      <c r="C54">
        <v>17.328658622448867</v>
      </c>
      <c r="D54">
        <v>0.9543982667830293</v>
      </c>
      <c r="E54">
        <v>2.6220996599758148</v>
      </c>
      <c r="F54">
        <v>17.933660898917839</v>
      </c>
      <c r="G54">
        <v>8.0217740100078565</v>
      </c>
      <c r="H54">
        <v>7.36</v>
      </c>
      <c r="I54">
        <v>6.6339101082160568E-2</v>
      </c>
      <c r="J54">
        <v>2.1338438760111131</v>
      </c>
      <c r="K54">
        <v>6.6339101082160568E-2</v>
      </c>
    </row>
    <row r="55" spans="1:11" x14ac:dyDescent="0.3">
      <c r="A55">
        <v>26</v>
      </c>
      <c r="B55">
        <v>2</v>
      </c>
      <c r="C55">
        <v>25.421241991750854</v>
      </c>
      <c r="D55">
        <v>0.93310199475855038</v>
      </c>
      <c r="E55">
        <v>3.846635301383353</v>
      </c>
      <c r="F55">
        <v>20.825267845687421</v>
      </c>
      <c r="G55">
        <v>6.9089598207507912</v>
      </c>
      <c r="H55">
        <v>7.36</v>
      </c>
      <c r="I55">
        <v>0.17473215431257927</v>
      </c>
      <c r="J55">
        <v>2.5606066456427694</v>
      </c>
      <c r="K55">
        <v>0.17473215431257927</v>
      </c>
    </row>
    <row r="56" spans="1:11" x14ac:dyDescent="0.3">
      <c r="A56">
        <v>26</v>
      </c>
      <c r="B56">
        <v>2</v>
      </c>
      <c r="C56">
        <v>39.413323280148425</v>
      </c>
      <c r="D56">
        <v>0.89628072821013571</v>
      </c>
      <c r="E56">
        <v>5.9638581279171969</v>
      </c>
      <c r="F56">
        <v>16.275691043687566</v>
      </c>
      <c r="G56">
        <v>7.7625354149220458</v>
      </c>
      <c r="H56">
        <v>7.36</v>
      </c>
      <c r="I56">
        <v>0.7243089563124343</v>
      </c>
      <c r="J56">
        <v>0.63294420945768026</v>
      </c>
      <c r="K56">
        <v>0.7243089563124343</v>
      </c>
    </row>
    <row r="57" spans="1:11" x14ac:dyDescent="0.3">
      <c r="A57">
        <v>27</v>
      </c>
      <c r="B57">
        <v>3</v>
      </c>
      <c r="C57">
        <v>29.897301099928512</v>
      </c>
      <c r="D57">
        <v>0.92132289184229343</v>
      </c>
      <c r="E57">
        <v>4.5239337190681272</v>
      </c>
      <c r="F57">
        <v>19.905686491909393</v>
      </c>
      <c r="G57">
        <v>7.8346965626988903</v>
      </c>
      <c r="H57">
        <v>7.36</v>
      </c>
      <c r="I57">
        <v>9.4313508090607456E-2</v>
      </c>
      <c r="J57">
        <v>3.8297862995212562</v>
      </c>
      <c r="K57">
        <v>9.4313508090607456E-2</v>
      </c>
    </row>
    <row r="58" spans="1:11" x14ac:dyDescent="0.3">
      <c r="A58">
        <v>27</v>
      </c>
      <c r="B58">
        <v>3</v>
      </c>
      <c r="C58">
        <v>41.820308488767225</v>
      </c>
      <c r="D58">
        <v>0.8899465566085073</v>
      </c>
      <c r="E58">
        <v>6.3280729950108299</v>
      </c>
      <c r="F58">
        <v>19.480543783097396</v>
      </c>
      <c r="G58">
        <v>6.2954872008312979</v>
      </c>
      <c r="H58">
        <v>7.36</v>
      </c>
      <c r="I58">
        <v>0.51945621690260424</v>
      </c>
      <c r="J58">
        <v>2.5048752386076627</v>
      </c>
      <c r="K58">
        <v>0.51945621690260424</v>
      </c>
    </row>
    <row r="59" spans="1:11" x14ac:dyDescent="0.3">
      <c r="A59">
        <v>27</v>
      </c>
      <c r="B59">
        <v>3</v>
      </c>
      <c r="C59">
        <v>44.188374975937755</v>
      </c>
      <c r="D59">
        <v>0.88371480269490066</v>
      </c>
      <c r="E59">
        <v>6.6863988450432119</v>
      </c>
      <c r="F59">
        <v>19.291157004792762</v>
      </c>
      <c r="G59">
        <v>7.641517824762702</v>
      </c>
      <c r="H59">
        <v>7.36</v>
      </c>
      <c r="I59">
        <v>0.70884299520723815</v>
      </c>
      <c r="J59">
        <v>1.469314400317939</v>
      </c>
      <c r="K59">
        <v>0.70884299520723815</v>
      </c>
    </row>
    <row r="60" spans="1:11" x14ac:dyDescent="0.3">
      <c r="A60">
        <v>28</v>
      </c>
      <c r="B60">
        <v>1</v>
      </c>
      <c r="C60">
        <v>16.881244887213985</v>
      </c>
      <c r="D60">
        <v>0.95557567134943688</v>
      </c>
      <c r="E60">
        <v>2.554398897407379</v>
      </c>
      <c r="F60">
        <v>19.509227226059426</v>
      </c>
      <c r="G60">
        <v>8.8755557304683137</v>
      </c>
      <c r="H60">
        <v>7.36</v>
      </c>
      <c r="I60">
        <v>0</v>
      </c>
      <c r="J60">
        <v>5.2048504583848096</v>
      </c>
      <c r="K60">
        <v>0.49077277394057361</v>
      </c>
    </row>
    <row r="61" spans="1:11" x14ac:dyDescent="0.3">
      <c r="A61">
        <v>29</v>
      </c>
      <c r="B61">
        <v>1</v>
      </c>
      <c r="C61">
        <v>34.157259493714932</v>
      </c>
      <c r="D61">
        <v>0.91011247501653969</v>
      </c>
      <c r="E61">
        <v>5.1685326865489678</v>
      </c>
      <c r="F61">
        <v>18.97531341624876</v>
      </c>
      <c r="G61">
        <v>9.8747603112911193</v>
      </c>
      <c r="H61">
        <v>7.36</v>
      </c>
      <c r="I61">
        <v>2.4686583751240221E-2</v>
      </c>
      <c r="J61">
        <v>4.98683943013984</v>
      </c>
      <c r="K61">
        <v>2.4686583751240221E-2</v>
      </c>
    </row>
    <row r="62" spans="1:11" x14ac:dyDescent="0.3">
      <c r="A62">
        <v>30</v>
      </c>
      <c r="B62">
        <v>3</v>
      </c>
      <c r="C62">
        <v>22.8182114640843</v>
      </c>
      <c r="D62">
        <v>0.93995207509451495</v>
      </c>
      <c r="E62">
        <v>3.4527556820653906</v>
      </c>
      <c r="F62">
        <v>20.489592409605752</v>
      </c>
      <c r="G62">
        <v>7.373746850064915</v>
      </c>
      <c r="H62">
        <v>7.36</v>
      </c>
      <c r="I62">
        <v>0</v>
      </c>
      <c r="J62">
        <v>6.7647028513005072</v>
      </c>
      <c r="K62">
        <v>0.51040759039424799</v>
      </c>
    </row>
    <row r="63" spans="1:11" x14ac:dyDescent="0.3">
      <c r="A63">
        <v>30</v>
      </c>
      <c r="B63">
        <v>3</v>
      </c>
      <c r="C63">
        <v>28.528092886145011</v>
      </c>
      <c r="D63">
        <v>0.92492607135225002</v>
      </c>
      <c r="E63">
        <v>4.3167508972456234</v>
      </c>
      <c r="F63">
        <v>18.979986086339025</v>
      </c>
      <c r="G63">
        <v>10.687991615408047</v>
      </c>
      <c r="H63">
        <v>7.36</v>
      </c>
      <c r="I63">
        <v>2.0013913660974936E-2</v>
      </c>
      <c r="J63">
        <v>4.1694484927008482</v>
      </c>
      <c r="K63">
        <v>2.0013913660974936E-2</v>
      </c>
    </row>
    <row r="64" spans="1:11" x14ac:dyDescent="0.3">
      <c r="A64">
        <v>30</v>
      </c>
      <c r="B64">
        <v>3</v>
      </c>
      <c r="C64">
        <v>21.996904555334766</v>
      </c>
      <c r="D64">
        <v>0.94211340906490848</v>
      </c>
      <c r="E64">
        <v>3.3284789787677624</v>
      </c>
      <c r="F64">
        <v>20.538489783888153</v>
      </c>
      <c r="G64">
        <v>10.051293424668232</v>
      </c>
      <c r="H64">
        <v>7.36</v>
      </c>
      <c r="I64">
        <v>0</v>
      </c>
      <c r="J64">
        <v>7.2121458259574132</v>
      </c>
      <c r="K64">
        <v>0.46151021611184717</v>
      </c>
    </row>
    <row r="65" spans="1:11" x14ac:dyDescent="0.3">
      <c r="A65">
        <v>31</v>
      </c>
      <c r="B65">
        <v>1</v>
      </c>
      <c r="C65">
        <v>41.568722544633779</v>
      </c>
      <c r="D65">
        <v>0.89060862488254267</v>
      </c>
      <c r="E65">
        <v>6.2900040692537971</v>
      </c>
      <c r="F65">
        <v>18.527012871862844</v>
      </c>
      <c r="G65">
        <v>7.4352622512193314</v>
      </c>
      <c r="H65">
        <v>7.36</v>
      </c>
      <c r="I65">
        <v>0.47298712813715582</v>
      </c>
      <c r="J65">
        <v>2.80881880616433</v>
      </c>
      <c r="K65">
        <v>0.47298712813715582</v>
      </c>
    </row>
    <row r="66" spans="1:11" x14ac:dyDescent="0.3">
      <c r="A66">
        <v>32</v>
      </c>
      <c r="B66">
        <v>1</v>
      </c>
      <c r="C66">
        <v>31.514501218711942</v>
      </c>
      <c r="D66">
        <v>0.91706710205602116</v>
      </c>
      <c r="E66">
        <v>4.7686416317787836</v>
      </c>
      <c r="F66">
        <v>17.98879959841981</v>
      </c>
      <c r="G66">
        <v>7.2187985791086113</v>
      </c>
      <c r="H66">
        <v>7.36</v>
      </c>
      <c r="I66">
        <v>1.1200401580190089E-2</v>
      </c>
      <c r="J66">
        <v>4.6862066761485845</v>
      </c>
      <c r="K66">
        <v>1.1200401580190089E-2</v>
      </c>
    </row>
    <row r="67" spans="1:11" x14ac:dyDescent="0.3">
      <c r="A67">
        <v>33</v>
      </c>
      <c r="B67">
        <v>2</v>
      </c>
      <c r="C67">
        <v>61.246634485513532</v>
      </c>
      <c r="D67">
        <v>0.83882464609075391</v>
      </c>
      <c r="E67">
        <v>9.2675828497816504</v>
      </c>
      <c r="F67">
        <v>19.157876750320515</v>
      </c>
      <c r="G67">
        <v>6.7579012752982841</v>
      </c>
      <c r="H67">
        <v>7.36</v>
      </c>
      <c r="I67">
        <v>0.84212324967948504</v>
      </c>
      <c r="J67">
        <v>3.0695557321406404</v>
      </c>
      <c r="K67">
        <v>0.84212324967948504</v>
      </c>
    </row>
    <row r="68" spans="1:11" x14ac:dyDescent="0.3">
      <c r="A68">
        <v>33</v>
      </c>
      <c r="B68">
        <v>2</v>
      </c>
      <c r="C68">
        <v>43.824861305798535</v>
      </c>
      <c r="D68">
        <v>0.88467141761631962</v>
      </c>
      <c r="E68">
        <v>6.6313934870616214</v>
      </c>
      <c r="F68">
        <v>18.070369034727623</v>
      </c>
      <c r="G68">
        <v>8.4210875485048717</v>
      </c>
      <c r="H68">
        <v>7.36</v>
      </c>
      <c r="I68">
        <v>0</v>
      </c>
      <c r="J68">
        <v>7.1333612312695038</v>
      </c>
      <c r="K68">
        <v>0.9296309652723771</v>
      </c>
    </row>
    <row r="69" spans="1:11" x14ac:dyDescent="0.3">
      <c r="A69">
        <v>34</v>
      </c>
      <c r="B69">
        <v>2</v>
      </c>
      <c r="C69">
        <v>31.410251696744183</v>
      </c>
      <c r="D69">
        <v>0.91734144290330477</v>
      </c>
      <c r="E69">
        <v>4.7528670330599754</v>
      </c>
      <c r="F69">
        <v>19.654472052626051</v>
      </c>
      <c r="G69">
        <v>6.7501628003302461</v>
      </c>
      <c r="H69">
        <v>7.36</v>
      </c>
      <c r="I69">
        <v>0.34552794737394876</v>
      </c>
      <c r="J69">
        <v>2.2097813403877122</v>
      </c>
      <c r="K69">
        <v>0.34552794737394876</v>
      </c>
    </row>
    <row r="70" spans="1:11" x14ac:dyDescent="0.3">
      <c r="A70">
        <v>34</v>
      </c>
      <c r="B70">
        <v>2</v>
      </c>
      <c r="C70">
        <v>47.083049766073977</v>
      </c>
      <c r="D70">
        <v>0.87609723745770007</v>
      </c>
      <c r="E70">
        <v>7.1244088461822459</v>
      </c>
      <c r="F70">
        <v>19.006364319647929</v>
      </c>
      <c r="G70">
        <v>7.3916507685788577</v>
      </c>
      <c r="H70">
        <v>7.36</v>
      </c>
      <c r="I70">
        <v>0</v>
      </c>
      <c r="J70">
        <v>7.1700412807819891</v>
      </c>
      <c r="K70">
        <v>0.99363568035207095</v>
      </c>
    </row>
    <row r="71" spans="1:11" x14ac:dyDescent="0.3">
      <c r="A71">
        <v>35</v>
      </c>
      <c r="B71">
        <v>1</v>
      </c>
      <c r="C71">
        <v>35.232707872341422</v>
      </c>
      <c r="D71">
        <v>0.90728234770436467</v>
      </c>
      <c r="E71">
        <v>5.3312650069990317</v>
      </c>
      <c r="F71">
        <v>19.285274901030572</v>
      </c>
      <c r="G71">
        <v>8.747126561448372</v>
      </c>
      <c r="H71">
        <v>7.36</v>
      </c>
      <c r="I71">
        <v>0.71472509896942782</v>
      </c>
      <c r="J71">
        <v>7.0888278584042744E-2</v>
      </c>
      <c r="K71">
        <v>0.71472509896942782</v>
      </c>
    </row>
    <row r="72" spans="1:11" x14ac:dyDescent="0.3">
      <c r="A72">
        <v>36</v>
      </c>
      <c r="B72">
        <v>1</v>
      </c>
      <c r="C72">
        <v>16.429383995444255</v>
      </c>
      <c r="D72">
        <v>0.95676477895935719</v>
      </c>
      <c r="E72">
        <v>2.4860252098369617</v>
      </c>
      <c r="F72">
        <v>19.189701893434925</v>
      </c>
      <c r="G72">
        <v>6.5067907206146511</v>
      </c>
      <c r="H72">
        <v>7.36</v>
      </c>
      <c r="I72">
        <v>0</v>
      </c>
      <c r="J72">
        <v>3.0680377871983966</v>
      </c>
      <c r="K72">
        <v>0.81029810656507451</v>
      </c>
    </row>
    <row r="73" spans="1:11" x14ac:dyDescent="0.3">
      <c r="A73">
        <v>37</v>
      </c>
      <c r="B73">
        <v>1</v>
      </c>
      <c r="C73">
        <v>38.415296512914985</v>
      </c>
      <c r="D73">
        <v>0.8989071144396974</v>
      </c>
      <c r="E73">
        <v>5.8128409197173996</v>
      </c>
      <c r="F73">
        <v>21.120058502163268</v>
      </c>
      <c r="G73">
        <v>7.517644513923508</v>
      </c>
      <c r="H73">
        <v>7.36</v>
      </c>
      <c r="I73">
        <v>0</v>
      </c>
      <c r="J73">
        <v>6.6059402062612298</v>
      </c>
      <c r="K73">
        <v>0.87994149783673237</v>
      </c>
    </row>
    <row r="74" spans="1:11" x14ac:dyDescent="0.3">
      <c r="A74">
        <v>38</v>
      </c>
      <c r="B74">
        <v>3</v>
      </c>
      <c r="C74">
        <v>21.542656190837185</v>
      </c>
      <c r="D74">
        <v>0.94330879949779689</v>
      </c>
      <c r="E74">
        <v>3.2597440288766788</v>
      </c>
      <c r="F74">
        <v>19.775105832634022</v>
      </c>
      <c r="G74">
        <v>6.3741339656699711</v>
      </c>
      <c r="H74">
        <v>7.36</v>
      </c>
      <c r="I74">
        <v>0.22489416736597789</v>
      </c>
      <c r="J74">
        <v>1.6045229570630815</v>
      </c>
      <c r="K74">
        <v>0.22489416736597789</v>
      </c>
    </row>
    <row r="75" spans="1:11" x14ac:dyDescent="0.3">
      <c r="A75">
        <v>38</v>
      </c>
      <c r="B75">
        <v>3</v>
      </c>
      <c r="C75">
        <v>58.366703514745389</v>
      </c>
      <c r="D75">
        <v>0.84640341180330159</v>
      </c>
      <c r="E75">
        <v>8.8318038213101584</v>
      </c>
      <c r="F75">
        <v>18.311718341682294</v>
      </c>
      <c r="G75">
        <v>8.6704819611625918</v>
      </c>
      <c r="H75">
        <v>7.36</v>
      </c>
      <c r="I75">
        <v>0.68828165831770605</v>
      </c>
      <c r="J75">
        <v>3.7660508160918416</v>
      </c>
      <c r="K75">
        <v>0.68828165831770605</v>
      </c>
    </row>
    <row r="76" spans="1:11" x14ac:dyDescent="0.3">
      <c r="A76">
        <v>38</v>
      </c>
      <c r="B76">
        <v>3</v>
      </c>
      <c r="C76">
        <v>34.352756461632382</v>
      </c>
      <c r="D76">
        <v>0.9095980093114937</v>
      </c>
      <c r="E76">
        <v>5.1981144645891124</v>
      </c>
      <c r="F76">
        <v>19.144773781482979</v>
      </c>
      <c r="G76">
        <v>7.1191251176999328</v>
      </c>
      <c r="H76">
        <v>7.36</v>
      </c>
      <c r="I76">
        <v>0</v>
      </c>
      <c r="J76">
        <v>6.078057889294767</v>
      </c>
      <c r="K76">
        <v>0.85522621851702141</v>
      </c>
    </row>
    <row r="77" spans="1:11" x14ac:dyDescent="0.3">
      <c r="A77">
        <v>39</v>
      </c>
      <c r="B77">
        <v>3</v>
      </c>
      <c r="C77">
        <v>35.770975115518965</v>
      </c>
      <c r="D77">
        <v>0.90586585495916061</v>
      </c>
      <c r="E77">
        <v>5.4127133398482652</v>
      </c>
      <c r="F77">
        <v>18.364694177965088</v>
      </c>
      <c r="G77">
        <v>7.8994160621775986</v>
      </c>
      <c r="H77">
        <v>7.36</v>
      </c>
      <c r="I77">
        <v>0.63530582203491193</v>
      </c>
      <c r="J77">
        <v>0.73686248967131318</v>
      </c>
      <c r="K77">
        <v>0.63530582203491193</v>
      </c>
    </row>
    <row r="78" spans="1:11" x14ac:dyDescent="0.3">
      <c r="A78">
        <v>39</v>
      </c>
      <c r="B78">
        <v>3</v>
      </c>
      <c r="C78">
        <v>40.80216377916684</v>
      </c>
      <c r="D78">
        <v>0.89262588479166616</v>
      </c>
      <c r="E78">
        <v>6.1740116244791956</v>
      </c>
      <c r="F78">
        <v>18.312571441125812</v>
      </c>
      <c r="G78">
        <v>8.2740194724669376</v>
      </c>
      <c r="H78">
        <v>7.36</v>
      </c>
      <c r="I78">
        <v>0.68742855887418841</v>
      </c>
      <c r="J78">
        <v>1.1145374311651686</v>
      </c>
      <c r="K78">
        <v>0.68742855887418841</v>
      </c>
    </row>
    <row r="79" spans="1:11" x14ac:dyDescent="0.3">
      <c r="A79">
        <v>39</v>
      </c>
      <c r="B79">
        <v>3</v>
      </c>
      <c r="C79">
        <v>35.110496662734988</v>
      </c>
      <c r="D79">
        <v>0.90760395615069744</v>
      </c>
      <c r="E79">
        <v>5.3127725213348969</v>
      </c>
      <c r="F79">
        <v>19.91272035248922</v>
      </c>
      <c r="G79">
        <v>8.9066359446077819</v>
      </c>
      <c r="H79">
        <v>7.36</v>
      </c>
      <c r="I79">
        <v>8.7279647510779768E-2</v>
      </c>
      <c r="J79">
        <v>4.6703943156555576</v>
      </c>
      <c r="K79">
        <v>8.7279647510779768E-2</v>
      </c>
    </row>
    <row r="80" spans="1:11" x14ac:dyDescent="0.3">
      <c r="A80">
        <v>40</v>
      </c>
      <c r="B80">
        <v>2</v>
      </c>
      <c r="C80">
        <v>26.960474309171406</v>
      </c>
      <c r="D80">
        <v>0.9290513833969174</v>
      </c>
      <c r="E80">
        <v>4.07954545467725</v>
      </c>
      <c r="F80">
        <v>19.263972518409112</v>
      </c>
      <c r="G80">
        <v>7.559964497478683</v>
      </c>
      <c r="H80">
        <v>7.36</v>
      </c>
      <c r="I80">
        <v>0</v>
      </c>
      <c r="J80">
        <v>5.5426537143144552</v>
      </c>
      <c r="K80">
        <v>0.73602748159088804</v>
      </c>
    </row>
    <row r="81" spans="1:11" x14ac:dyDescent="0.3">
      <c r="A81">
        <v>40</v>
      </c>
      <c r="B81">
        <v>2</v>
      </c>
      <c r="C81">
        <v>26.638424923199548</v>
      </c>
      <c r="D81">
        <v>0.92989888178105384</v>
      </c>
      <c r="E81">
        <v>4.0308142975894041</v>
      </c>
      <c r="F81">
        <v>20.464016099783322</v>
      </c>
      <c r="G81">
        <v>8.7145484850436397</v>
      </c>
      <c r="H81">
        <v>7.36</v>
      </c>
      <c r="I81">
        <v>0.53598390021667797</v>
      </c>
      <c r="J81">
        <v>8.5972791994654116E-2</v>
      </c>
      <c r="K81">
        <v>0.53598390021667797</v>
      </c>
    </row>
    <row r="82" spans="1:11" x14ac:dyDescent="0.3">
      <c r="A82">
        <v>41</v>
      </c>
      <c r="B82">
        <v>2</v>
      </c>
      <c r="C82">
        <v>45.445812561458133</v>
      </c>
      <c r="D82">
        <v>0.88040575641721541</v>
      </c>
      <c r="E82">
        <v>6.8766690060101139</v>
      </c>
      <c r="F82">
        <v>19.498324450772479</v>
      </c>
      <c r="G82">
        <v>7.6768399628582351</v>
      </c>
      <c r="H82">
        <v>7.36</v>
      </c>
      <c r="I82">
        <v>0.50167554922752089</v>
      </c>
      <c r="J82">
        <v>3.1843369636955599</v>
      </c>
      <c r="K82">
        <v>0.50167554922752089</v>
      </c>
    </row>
    <row r="83" spans="1:11" x14ac:dyDescent="0.3">
      <c r="A83">
        <v>41</v>
      </c>
      <c r="B83">
        <v>2</v>
      </c>
      <c r="C83">
        <v>37.230251024108526</v>
      </c>
      <c r="D83">
        <v>0.90202565519971445</v>
      </c>
      <c r="E83">
        <v>5.6335248260164192</v>
      </c>
      <c r="F83">
        <v>19.798870886164881</v>
      </c>
      <c r="G83">
        <v>8.0751734495041756</v>
      </c>
      <c r="H83">
        <v>7.36</v>
      </c>
      <c r="I83">
        <v>0.201129113835119</v>
      </c>
      <c r="J83">
        <v>4.1532145481899434</v>
      </c>
      <c r="K83">
        <v>0.201129113835119</v>
      </c>
    </row>
    <row r="84" spans="1:11" x14ac:dyDescent="0.3">
      <c r="A84">
        <v>42</v>
      </c>
      <c r="B84">
        <v>1</v>
      </c>
      <c r="C84">
        <v>40.094320022332852</v>
      </c>
      <c r="D84">
        <v>0.89448863152017666</v>
      </c>
      <c r="E84">
        <v>6.0669036875898419</v>
      </c>
      <c r="F84">
        <v>19.564432863542791</v>
      </c>
      <c r="G84">
        <v>4.9286574582119709</v>
      </c>
      <c r="H84">
        <v>7.36</v>
      </c>
      <c r="I84">
        <v>0.4355671364572089</v>
      </c>
      <c r="J84">
        <v>2.8611295632647842</v>
      </c>
      <c r="K84">
        <v>0.4355671364572089</v>
      </c>
    </row>
    <row r="85" spans="1:11" x14ac:dyDescent="0.3">
      <c r="A85">
        <v>43</v>
      </c>
      <c r="B85">
        <v>3</v>
      </c>
      <c r="C85">
        <v>31.911548233566162</v>
      </c>
      <c r="D85">
        <v>0.9160222414906154</v>
      </c>
      <c r="E85">
        <v>4.8287211142896149</v>
      </c>
      <c r="F85">
        <v>18.777597233741428</v>
      </c>
      <c r="G85">
        <v>6.69538399298896</v>
      </c>
      <c r="H85">
        <v>7.36</v>
      </c>
      <c r="I85">
        <v>0.22240276625857192</v>
      </c>
      <c r="J85">
        <v>3.1918367546265256</v>
      </c>
      <c r="K85">
        <v>0.22240276625857192</v>
      </c>
    </row>
    <row r="86" spans="1:11" x14ac:dyDescent="0.3">
      <c r="A86">
        <v>43</v>
      </c>
      <c r="B86">
        <v>3</v>
      </c>
      <c r="C86">
        <v>40.368900923053133</v>
      </c>
      <c r="D86">
        <v>0.89376605020249178</v>
      </c>
      <c r="E86">
        <v>6.1084521133567229</v>
      </c>
      <c r="F86">
        <v>19.672815339916749</v>
      </c>
      <c r="G86">
        <v>9.4036682003681058</v>
      </c>
      <c r="H86">
        <v>7.36</v>
      </c>
      <c r="I86">
        <v>0.32718466008325109</v>
      </c>
      <c r="J86">
        <v>3.7003730151439949</v>
      </c>
      <c r="K86">
        <v>0.32718466008325109</v>
      </c>
    </row>
    <row r="87" spans="1:11" x14ac:dyDescent="0.3">
      <c r="A87">
        <v>43</v>
      </c>
      <c r="B87">
        <v>3</v>
      </c>
      <c r="C87">
        <v>17.444687753095462</v>
      </c>
      <c r="D87">
        <v>0.95409292696553827</v>
      </c>
      <c r="E87">
        <v>2.6396566994815496</v>
      </c>
      <c r="F87">
        <v>18.407364080834977</v>
      </c>
      <c r="G87">
        <v>6.5149827986811744</v>
      </c>
      <c r="H87">
        <v>7.36</v>
      </c>
      <c r="I87">
        <v>0</v>
      </c>
      <c r="J87">
        <v>4.4540950254932534</v>
      </c>
      <c r="K87">
        <v>0.59263591916502278</v>
      </c>
    </row>
    <row r="88" spans="1:11" x14ac:dyDescent="0.3">
      <c r="A88">
        <v>44</v>
      </c>
      <c r="B88">
        <v>1</v>
      </c>
      <c r="C88">
        <v>32.355423707646736</v>
      </c>
      <c r="D88">
        <v>0.91485414813777177</v>
      </c>
      <c r="E88">
        <v>4.8958864820781232</v>
      </c>
      <c r="F88">
        <v>18.712859597001142</v>
      </c>
      <c r="G88">
        <v>8.7438951071610411</v>
      </c>
      <c r="H88">
        <v>7.36</v>
      </c>
      <c r="I88">
        <v>0.28714040299885824</v>
      </c>
      <c r="J88">
        <v>2.7825331160065265</v>
      </c>
      <c r="K88">
        <v>0.28714040299885824</v>
      </c>
    </row>
    <row r="89" spans="1:11" x14ac:dyDescent="0.3">
      <c r="A89">
        <v>45</v>
      </c>
      <c r="B89">
        <v>1</v>
      </c>
      <c r="C89">
        <v>30.589347108894426</v>
      </c>
      <c r="D89">
        <v>0.91950171813448833</v>
      </c>
      <c r="E89">
        <v>4.6286512072669206</v>
      </c>
      <c r="F89">
        <v>17.607165438874745</v>
      </c>
      <c r="G89">
        <v>8.5311781828803266</v>
      </c>
      <c r="H89">
        <v>7.36</v>
      </c>
      <c r="I89">
        <v>0.39283456112525528</v>
      </c>
      <c r="J89">
        <v>1.7373888373850417</v>
      </c>
      <c r="K89">
        <v>0.39283456112525528</v>
      </c>
    </row>
    <row r="90" spans="1:11" x14ac:dyDescent="0.3">
      <c r="A90">
        <v>46</v>
      </c>
      <c r="B90">
        <v>1</v>
      </c>
      <c r="C90">
        <v>24.945472006415631</v>
      </c>
      <c r="D90">
        <v>0.93435402103574838</v>
      </c>
      <c r="E90">
        <v>3.7746437904444679</v>
      </c>
      <c r="F90">
        <v>19.904237644725434</v>
      </c>
      <c r="G90">
        <v>7.1985787240221946</v>
      </c>
      <c r="H90">
        <v>7.36</v>
      </c>
      <c r="I90">
        <v>9.5762355274565891E-2</v>
      </c>
      <c r="J90">
        <v>3.0698328556236629</v>
      </c>
      <c r="K90">
        <v>9.5762355274565891E-2</v>
      </c>
    </row>
    <row r="91" spans="1:11" x14ac:dyDescent="0.3">
      <c r="A91">
        <v>47</v>
      </c>
      <c r="B91">
        <v>2</v>
      </c>
      <c r="C91">
        <v>24.510540897476798</v>
      </c>
      <c r="D91">
        <v>0.93549857658558733</v>
      </c>
      <c r="E91">
        <v>3.7088318463287289</v>
      </c>
      <c r="F91">
        <v>19.045337747213416</v>
      </c>
      <c r="G91">
        <v>6.7392376453052618</v>
      </c>
      <c r="H91">
        <v>7.36</v>
      </c>
      <c r="I91">
        <v>0</v>
      </c>
      <c r="J91">
        <v>3.8849675217627411</v>
      </c>
      <c r="K91">
        <v>0.95466225278658357</v>
      </c>
    </row>
    <row r="92" spans="1:11" x14ac:dyDescent="0.3">
      <c r="A92">
        <v>47</v>
      </c>
      <c r="B92">
        <v>2</v>
      </c>
      <c r="C92">
        <v>12.299592429302129</v>
      </c>
      <c r="D92">
        <v>0.96763265150183653</v>
      </c>
      <c r="E92">
        <v>1.8611225386443997</v>
      </c>
      <c r="F92">
        <v>19.363313670353804</v>
      </c>
      <c r="G92">
        <v>8.3662114597910158</v>
      </c>
      <c r="H92">
        <v>7.36</v>
      </c>
      <c r="I92">
        <v>0</v>
      </c>
      <c r="J92">
        <v>2.9231388393066622</v>
      </c>
      <c r="K92">
        <v>0.63668632964619576</v>
      </c>
    </row>
    <row r="93" spans="1:11" x14ac:dyDescent="0.3">
      <c r="A93">
        <v>48</v>
      </c>
      <c r="B93">
        <v>3</v>
      </c>
      <c r="C93">
        <v>41.619855787994574</v>
      </c>
      <c r="D93">
        <v>0.89047406371580373</v>
      </c>
      <c r="E93">
        <v>6.2977413363412857</v>
      </c>
      <c r="F93">
        <v>19.798642522658731</v>
      </c>
      <c r="G93">
        <v>7.738674007371702</v>
      </c>
      <c r="H93">
        <v>7.36</v>
      </c>
      <c r="I93">
        <v>0.20135747734126852</v>
      </c>
      <c r="J93">
        <v>4.8157503031095494</v>
      </c>
      <c r="K93">
        <v>0.20135747734126852</v>
      </c>
    </row>
    <row r="94" spans="1:11" x14ac:dyDescent="0.3">
      <c r="A94">
        <v>48</v>
      </c>
      <c r="B94">
        <v>3</v>
      </c>
      <c r="C94">
        <v>26.074105303482376</v>
      </c>
      <c r="D94">
        <v>0.93138393341188852</v>
      </c>
      <c r="E94">
        <v>3.9454238288164101</v>
      </c>
      <c r="F94">
        <v>19.173422184404576</v>
      </c>
      <c r="G94">
        <v>9.2413658602417144</v>
      </c>
      <c r="H94">
        <v>7.36</v>
      </c>
      <c r="I94">
        <v>0</v>
      </c>
      <c r="J94">
        <v>4.7732031447932437</v>
      </c>
      <c r="K94">
        <v>0.82657781559542443</v>
      </c>
    </row>
    <row r="95" spans="1:11" x14ac:dyDescent="0.3">
      <c r="A95">
        <v>48</v>
      </c>
      <c r="B95">
        <v>3</v>
      </c>
      <c r="C95">
        <v>33.458001344223845</v>
      </c>
      <c r="D95">
        <v>0.91195262804151622</v>
      </c>
      <c r="E95">
        <v>5.0627238876128171</v>
      </c>
      <c r="F95">
        <v>19.56226198439855</v>
      </c>
      <c r="G95">
        <v>7.8190647133547122</v>
      </c>
      <c r="H95">
        <v>7.36</v>
      </c>
      <c r="I95">
        <v>0.43773801560145031</v>
      </c>
      <c r="J95">
        <v>1.8409720927861426</v>
      </c>
      <c r="K95">
        <v>0.43773801560145031</v>
      </c>
    </row>
    <row r="96" spans="1:11" x14ac:dyDescent="0.3">
      <c r="A96">
        <v>49</v>
      </c>
      <c r="B96">
        <v>2</v>
      </c>
      <c r="C96">
        <v>27.288530732145382</v>
      </c>
      <c r="D96">
        <v>0.92818807702067008</v>
      </c>
      <c r="E96">
        <v>4.1291855713114707</v>
      </c>
      <c r="F96">
        <v>20.529331365535388</v>
      </c>
      <c r="G96">
        <v>9.2216695043746935</v>
      </c>
      <c r="H96">
        <v>7.36</v>
      </c>
      <c r="I96">
        <v>0.47066863446461227</v>
      </c>
      <c r="J96">
        <v>0.66506442165192425</v>
      </c>
      <c r="K96">
        <v>0.47066863446461227</v>
      </c>
    </row>
    <row r="97" spans="1:11" x14ac:dyDescent="0.3">
      <c r="A97">
        <v>49</v>
      </c>
      <c r="B97">
        <v>2</v>
      </c>
      <c r="C97">
        <v>50.385648200563409</v>
      </c>
      <c r="D97">
        <v>0.86740618894588573</v>
      </c>
      <c r="E97">
        <v>7.6241441356115711</v>
      </c>
      <c r="F97">
        <v>18.460877749637348</v>
      </c>
      <c r="G97">
        <v>8.1894150041349487</v>
      </c>
      <c r="H97">
        <v>7.36</v>
      </c>
      <c r="I97">
        <v>0.53912225036265227</v>
      </c>
      <c r="J97">
        <v>3.65620437294245</v>
      </c>
      <c r="K97">
        <v>0.53912225036265227</v>
      </c>
    </row>
    <row r="98" spans="1:11" x14ac:dyDescent="0.3">
      <c r="A98">
        <v>50</v>
      </c>
      <c r="B98">
        <v>1</v>
      </c>
      <c r="C98">
        <v>36.407217802254927</v>
      </c>
      <c r="D98">
        <v>0.90419153209932912</v>
      </c>
      <c r="E98">
        <v>5.5089869042885757</v>
      </c>
      <c r="F98">
        <v>20.210286463343081</v>
      </c>
      <c r="G98">
        <v>9.0148480189061502</v>
      </c>
      <c r="H98">
        <v>7.36</v>
      </c>
      <c r="I98">
        <v>0</v>
      </c>
      <c r="J98">
        <v>6.9759306996429089</v>
      </c>
      <c r="K98">
        <v>0.78971353665691879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079CC-CC42-4C92-BAE7-864270F797E6}">
  <sheetPr codeName="Sheet3"/>
  <dimension ref="A1:Y98"/>
  <sheetViews>
    <sheetView zoomScale="70" zoomScaleNormal="70" workbookViewId="0">
      <pane ySplit="1" topLeftCell="A2" activePane="bottomLeft" state="frozen"/>
      <selection activeCell="J1" sqref="J1"/>
      <selection pane="bottomLeft" activeCell="A12" sqref="A12:XFD12"/>
    </sheetView>
  </sheetViews>
  <sheetFormatPr defaultRowHeight="14" x14ac:dyDescent="0.3"/>
  <sheetData>
    <row r="1" spans="1:25" x14ac:dyDescent="0.3">
      <c r="A1" t="s">
        <v>44</v>
      </c>
      <c r="B1" t="s">
        <v>17</v>
      </c>
      <c r="C1" s="1" t="s">
        <v>18</v>
      </c>
      <c r="D1" t="s">
        <v>19</v>
      </c>
      <c r="E1" s="1" t="s">
        <v>20</v>
      </c>
      <c r="F1" t="s">
        <v>21</v>
      </c>
      <c r="G1" s="1" t="s">
        <v>22</v>
      </c>
      <c r="H1" t="s">
        <v>23</v>
      </c>
      <c r="I1" s="1" t="s">
        <v>24</v>
      </c>
      <c r="J1" t="s">
        <v>25</v>
      </c>
      <c r="K1" s="1" t="s">
        <v>26</v>
      </c>
      <c r="L1" t="s">
        <v>27</v>
      </c>
      <c r="M1" s="1" t="s">
        <v>28</v>
      </c>
      <c r="N1" t="s">
        <v>29</v>
      </c>
      <c r="O1" s="1" t="s">
        <v>30</v>
      </c>
      <c r="P1" t="s">
        <v>31</v>
      </c>
      <c r="Q1" s="1" t="s">
        <v>32</v>
      </c>
      <c r="R1" t="s">
        <v>33</v>
      </c>
      <c r="S1" s="1" t="s">
        <v>34</v>
      </c>
      <c r="T1" t="s">
        <v>35</v>
      </c>
      <c r="U1" s="1" t="s">
        <v>36</v>
      </c>
      <c r="V1" t="s">
        <v>37</v>
      </c>
      <c r="W1" s="1" t="s">
        <v>38</v>
      </c>
      <c r="X1" t="s">
        <v>39</v>
      </c>
      <c r="Y1" s="1" t="s">
        <v>40</v>
      </c>
    </row>
    <row r="2" spans="1:25" x14ac:dyDescent="0.3">
      <c r="A2">
        <v>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5.8999920182163725</v>
      </c>
      <c r="V2">
        <v>6.4797094940917637</v>
      </c>
      <c r="W2">
        <v>0</v>
      </c>
      <c r="X2">
        <v>0</v>
      </c>
      <c r="Y2">
        <v>0</v>
      </c>
    </row>
    <row r="3" spans="1:25" x14ac:dyDescent="0.3">
      <c r="A3">
        <v>1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0.31021236278051106</v>
      </c>
      <c r="W3">
        <v>7.2803242174944014</v>
      </c>
      <c r="X3">
        <v>0</v>
      </c>
      <c r="Y3">
        <v>0</v>
      </c>
    </row>
    <row r="4" spans="1:25" x14ac:dyDescent="0.3">
      <c r="A4">
        <v>2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4.0810236001253282</v>
      </c>
      <c r="V4">
        <v>0.88189159600687084</v>
      </c>
      <c r="W4">
        <v>0</v>
      </c>
      <c r="X4">
        <v>0</v>
      </c>
      <c r="Y4">
        <v>0</v>
      </c>
    </row>
    <row r="5" spans="1:25" x14ac:dyDescent="0.3">
      <c r="A5">
        <v>2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1.9983655993004663</v>
      </c>
      <c r="V5">
        <v>2.5229121664992413</v>
      </c>
      <c r="W5">
        <v>0</v>
      </c>
      <c r="X5">
        <v>0</v>
      </c>
      <c r="Y5">
        <v>0</v>
      </c>
    </row>
    <row r="6" spans="1:25" x14ac:dyDescent="0.3">
      <c r="A6">
        <v>2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3.780310654531768</v>
      </c>
      <c r="T6">
        <v>0.43662625749368411</v>
      </c>
      <c r="U6">
        <v>0</v>
      </c>
      <c r="V6">
        <v>0</v>
      </c>
      <c r="W6">
        <v>0</v>
      </c>
      <c r="X6">
        <v>0</v>
      </c>
      <c r="Y6">
        <v>0</v>
      </c>
    </row>
    <row r="7" spans="1:25" x14ac:dyDescent="0.3">
      <c r="A7">
        <v>2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4.0281513919433829</v>
      </c>
      <c r="U7">
        <v>0.37574255989586119</v>
      </c>
      <c r="V7">
        <v>0</v>
      </c>
      <c r="W7">
        <v>0</v>
      </c>
      <c r="X7">
        <v>0</v>
      </c>
      <c r="Y7">
        <v>0</v>
      </c>
    </row>
    <row r="8" spans="1:25" x14ac:dyDescent="0.3">
      <c r="A8">
        <v>2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0.82182312980532291</v>
      </c>
      <c r="U8">
        <v>7.36</v>
      </c>
      <c r="V8">
        <v>0.46340572939561064</v>
      </c>
      <c r="W8">
        <v>0</v>
      </c>
      <c r="X8">
        <v>0</v>
      </c>
      <c r="Y8">
        <v>0</v>
      </c>
    </row>
    <row r="9" spans="1:25" x14ac:dyDescent="0.3">
      <c r="A9">
        <v>3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3.014756348195498</v>
      </c>
      <c r="W9">
        <v>1.3742007139298962</v>
      </c>
      <c r="X9">
        <v>0</v>
      </c>
      <c r="Y9">
        <v>0</v>
      </c>
    </row>
    <row r="10" spans="1:25" x14ac:dyDescent="0.3">
      <c r="A10">
        <v>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4.8223690811341724</v>
      </c>
      <c r="V10">
        <v>0.89817187078241167</v>
      </c>
      <c r="W10">
        <v>0</v>
      </c>
      <c r="X10">
        <v>0</v>
      </c>
      <c r="Y10">
        <v>0</v>
      </c>
    </row>
    <row r="11" spans="1:25" x14ac:dyDescent="0.3">
      <c r="A11">
        <v>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0.81630976679811851</v>
      </c>
      <c r="S11">
        <v>3.6085409839582052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>
        <v>4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1.1458744366631914</v>
      </c>
      <c r="U12">
        <v>5.7224783521277525</v>
      </c>
      <c r="V12">
        <v>0</v>
      </c>
      <c r="W12">
        <v>0</v>
      </c>
      <c r="X12">
        <v>0</v>
      </c>
      <c r="Y12">
        <v>0</v>
      </c>
    </row>
    <row r="13" spans="1:25" x14ac:dyDescent="0.3">
      <c r="A13">
        <v>5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0.18193084966685319</v>
      </c>
      <c r="U13">
        <v>6.4530676946097802</v>
      </c>
      <c r="V13">
        <v>0</v>
      </c>
      <c r="W13">
        <v>0</v>
      </c>
      <c r="X13">
        <v>0</v>
      </c>
      <c r="Y13">
        <v>0</v>
      </c>
    </row>
    <row r="14" spans="1:25" x14ac:dyDescent="0.3">
      <c r="A14">
        <v>6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3.3976685951414356</v>
      </c>
      <c r="U14">
        <v>6.1753326221928067</v>
      </c>
      <c r="V14">
        <v>0</v>
      </c>
      <c r="W14">
        <v>0</v>
      </c>
      <c r="X14">
        <v>0</v>
      </c>
      <c r="Y14">
        <v>0</v>
      </c>
    </row>
    <row r="15" spans="1:25" x14ac:dyDescent="0.3">
      <c r="A15">
        <v>6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1.8605941857932704</v>
      </c>
      <c r="U15">
        <v>4.0827404751474194</v>
      </c>
      <c r="V15">
        <v>0</v>
      </c>
      <c r="W15">
        <v>0</v>
      </c>
      <c r="X15">
        <v>0</v>
      </c>
      <c r="Y15">
        <v>0</v>
      </c>
    </row>
    <row r="16" spans="1:25" x14ac:dyDescent="0.3">
      <c r="A16">
        <v>7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2.0124052472207929</v>
      </c>
      <c r="U16">
        <v>0.9907460068807975</v>
      </c>
      <c r="V16">
        <v>0</v>
      </c>
      <c r="W16">
        <v>0</v>
      </c>
      <c r="X16">
        <v>0</v>
      </c>
      <c r="Y16">
        <v>0</v>
      </c>
    </row>
    <row r="17" spans="1:25" x14ac:dyDescent="0.3">
      <c r="A17">
        <v>7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4.3131172238759836</v>
      </c>
      <c r="V17">
        <v>6.2895212192678027</v>
      </c>
      <c r="W17">
        <v>0</v>
      </c>
      <c r="X17">
        <v>0</v>
      </c>
      <c r="Y17">
        <v>0</v>
      </c>
    </row>
    <row r="18" spans="1:25" x14ac:dyDescent="0.3">
      <c r="A18">
        <v>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2.5241402663646593</v>
      </c>
      <c r="U18">
        <v>0.67735552135180443</v>
      </c>
      <c r="V18">
        <v>0</v>
      </c>
      <c r="W18">
        <v>0</v>
      </c>
      <c r="X18">
        <v>0</v>
      </c>
      <c r="Y18">
        <v>0</v>
      </c>
    </row>
    <row r="19" spans="1:25" x14ac:dyDescent="0.3">
      <c r="A19">
        <v>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2.567578320712312</v>
      </c>
      <c r="T19">
        <v>1.594276170752015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 x14ac:dyDescent="0.3">
      <c r="A20">
        <v>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4.8618209478253336</v>
      </c>
      <c r="T20">
        <v>5.8467257750301895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 x14ac:dyDescent="0.3">
      <c r="A21">
        <v>9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4.9763361505028474</v>
      </c>
      <c r="U21">
        <v>0.51294558485287522</v>
      </c>
      <c r="V21">
        <v>0</v>
      </c>
      <c r="W21">
        <v>0</v>
      </c>
      <c r="X21">
        <v>0</v>
      </c>
      <c r="Y21">
        <v>0</v>
      </c>
    </row>
    <row r="22" spans="1:25" x14ac:dyDescent="0.3">
      <c r="A22">
        <v>10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0.84647234635454993</v>
      </c>
      <c r="V22">
        <v>5.6272260592946539</v>
      </c>
      <c r="W22">
        <v>0</v>
      </c>
      <c r="X22">
        <v>0</v>
      </c>
      <c r="Y22">
        <v>0</v>
      </c>
    </row>
    <row r="23" spans="1:25" x14ac:dyDescent="0.3">
      <c r="A23">
        <v>10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6.3374555991757235</v>
      </c>
      <c r="V23">
        <v>7.1377347548766519</v>
      </c>
      <c r="W23">
        <v>0</v>
      </c>
      <c r="X23">
        <v>0</v>
      </c>
      <c r="Y23">
        <v>0</v>
      </c>
    </row>
    <row r="24" spans="1:25" x14ac:dyDescent="0.3">
      <c r="A24">
        <v>11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7.0831857315350693</v>
      </c>
      <c r="U24">
        <v>0.48130682191288687</v>
      </c>
      <c r="V24">
        <v>0</v>
      </c>
      <c r="W24">
        <v>0</v>
      </c>
      <c r="X24">
        <v>0</v>
      </c>
      <c r="Y24">
        <v>0</v>
      </c>
    </row>
    <row r="25" spans="1:25" x14ac:dyDescent="0.3">
      <c r="A25">
        <v>11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3.5558062017648981</v>
      </c>
      <c r="U25">
        <v>3.6939414810365556E-2</v>
      </c>
      <c r="V25">
        <v>0</v>
      </c>
      <c r="W25">
        <v>0</v>
      </c>
      <c r="X25">
        <v>0</v>
      </c>
      <c r="Y25">
        <v>0</v>
      </c>
    </row>
    <row r="26" spans="1:25" x14ac:dyDescent="0.3">
      <c r="A26">
        <v>12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5.4637886288280884</v>
      </c>
      <c r="W26">
        <v>4.7304849642544893</v>
      </c>
      <c r="X26">
        <v>0</v>
      </c>
      <c r="Y26">
        <v>0</v>
      </c>
    </row>
    <row r="27" spans="1:25" x14ac:dyDescent="0.3">
      <c r="A27">
        <v>12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3.1293563478457451</v>
      </c>
      <c r="U27">
        <v>0.14210194903840215</v>
      </c>
      <c r="V27">
        <v>0</v>
      </c>
      <c r="W27">
        <v>0</v>
      </c>
      <c r="X27">
        <v>0</v>
      </c>
      <c r="Y27">
        <v>0</v>
      </c>
    </row>
    <row r="28" spans="1:25" x14ac:dyDescent="0.3">
      <c r="A28">
        <v>13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0.3058234052882074</v>
      </c>
      <c r="U28">
        <v>3.9445260574458421</v>
      </c>
      <c r="V28">
        <v>0</v>
      </c>
      <c r="W28">
        <v>0</v>
      </c>
      <c r="X28">
        <v>0</v>
      </c>
      <c r="Y28">
        <v>0</v>
      </c>
    </row>
    <row r="29" spans="1:25" x14ac:dyDescent="0.3">
      <c r="A29">
        <v>14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2.8973189584694228</v>
      </c>
      <c r="U29">
        <v>5.5759362936031902</v>
      </c>
      <c r="V29">
        <v>0</v>
      </c>
      <c r="W29">
        <v>0</v>
      </c>
      <c r="X29">
        <v>0</v>
      </c>
      <c r="Y29">
        <v>0</v>
      </c>
    </row>
    <row r="30" spans="1:25" x14ac:dyDescent="0.3">
      <c r="A30">
        <v>15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2.2042602649312291</v>
      </c>
      <c r="T30">
        <v>0.33638668393368093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 x14ac:dyDescent="0.3">
      <c r="A31">
        <v>15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6.5092325317295883</v>
      </c>
      <c r="U31">
        <v>5.6053179516658096</v>
      </c>
      <c r="V31">
        <v>0</v>
      </c>
      <c r="W31">
        <v>0</v>
      </c>
      <c r="X31">
        <v>0</v>
      </c>
      <c r="Y31">
        <v>0</v>
      </c>
    </row>
    <row r="32" spans="1:25" x14ac:dyDescent="0.3">
      <c r="A32">
        <v>16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0.93694480728093033</v>
      </c>
      <c r="W32">
        <v>5.1433587671631384</v>
      </c>
      <c r="X32">
        <v>0</v>
      </c>
      <c r="Y32">
        <v>0</v>
      </c>
    </row>
    <row r="33" spans="1:25" x14ac:dyDescent="0.3">
      <c r="A33">
        <v>17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6.0978955430813198</v>
      </c>
      <c r="V33">
        <v>6.9947757425282502</v>
      </c>
      <c r="W33">
        <v>0</v>
      </c>
      <c r="X33">
        <v>0</v>
      </c>
      <c r="Y33">
        <v>0</v>
      </c>
    </row>
    <row r="34" spans="1:25" x14ac:dyDescent="0.3">
      <c r="A34">
        <v>17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5.2669522102197028</v>
      </c>
      <c r="V34">
        <v>6.4228797922962579</v>
      </c>
      <c r="W34">
        <v>0</v>
      </c>
      <c r="X34">
        <v>0</v>
      </c>
      <c r="Y34">
        <v>0</v>
      </c>
    </row>
    <row r="35" spans="1:25" x14ac:dyDescent="0.3">
      <c r="A35">
        <v>17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0.36235412225571056</v>
      </c>
      <c r="W35">
        <v>5.2001276387245134</v>
      </c>
      <c r="X35">
        <v>0</v>
      </c>
      <c r="Y35">
        <v>0</v>
      </c>
    </row>
    <row r="36" spans="1:25" x14ac:dyDescent="0.3">
      <c r="A36">
        <v>17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4.6910208114561796</v>
      </c>
      <c r="W36">
        <v>5.4369036233346169</v>
      </c>
      <c r="X36">
        <v>0</v>
      </c>
      <c r="Y36">
        <v>0</v>
      </c>
    </row>
    <row r="37" spans="1:25" x14ac:dyDescent="0.3">
      <c r="A37">
        <v>18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4.8519280227861863</v>
      </c>
      <c r="V37">
        <v>4.5005623995150332E-2</v>
      </c>
      <c r="W37">
        <v>0</v>
      </c>
      <c r="X37">
        <v>0</v>
      </c>
      <c r="Y37">
        <v>0</v>
      </c>
    </row>
    <row r="38" spans="1:25" x14ac:dyDescent="0.3">
      <c r="A38">
        <v>18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1.4653151376165294</v>
      </c>
      <c r="V38">
        <v>2.6506248544719875</v>
      </c>
      <c r="W38">
        <v>0</v>
      </c>
      <c r="X38">
        <v>0</v>
      </c>
      <c r="Y38">
        <v>0</v>
      </c>
    </row>
    <row r="39" spans="1:25" x14ac:dyDescent="0.3">
      <c r="A39">
        <v>18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5.4160673741655128</v>
      </c>
      <c r="U39">
        <v>6.6223176744343286</v>
      </c>
      <c r="V39">
        <v>0</v>
      </c>
      <c r="W39">
        <v>0</v>
      </c>
      <c r="X39">
        <v>0</v>
      </c>
      <c r="Y39">
        <v>0</v>
      </c>
    </row>
    <row r="40" spans="1:25" x14ac:dyDescent="0.3">
      <c r="A40">
        <v>19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5.9480880066496917</v>
      </c>
      <c r="T40">
        <v>6.5239633924908187</v>
      </c>
      <c r="U40">
        <v>0</v>
      </c>
      <c r="V40">
        <v>0</v>
      </c>
      <c r="W40">
        <v>0</v>
      </c>
      <c r="X40">
        <v>0</v>
      </c>
      <c r="Y40">
        <v>0</v>
      </c>
    </row>
    <row r="41" spans="1:25" x14ac:dyDescent="0.3">
      <c r="A41">
        <v>20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1.2640857997386548</v>
      </c>
      <c r="T41">
        <v>5.5193044859663694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 x14ac:dyDescent="0.3">
      <c r="A42">
        <v>20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4.8753276740033753</v>
      </c>
      <c r="V42">
        <v>5.1653403482088418</v>
      </c>
      <c r="W42">
        <v>0</v>
      </c>
      <c r="X42">
        <v>0</v>
      </c>
      <c r="Y42">
        <v>0</v>
      </c>
    </row>
    <row r="43" spans="1:25" x14ac:dyDescent="0.3">
      <c r="A43">
        <v>20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0.29212104915031889</v>
      </c>
      <c r="V43">
        <v>5.5730751321202003</v>
      </c>
      <c r="W43">
        <v>0</v>
      </c>
      <c r="X43">
        <v>0</v>
      </c>
      <c r="Y43">
        <v>0</v>
      </c>
    </row>
    <row r="44" spans="1:25" x14ac:dyDescent="0.3">
      <c r="A44">
        <v>21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1.8071411667524695</v>
      </c>
      <c r="V44">
        <v>1.2111545611646377</v>
      </c>
      <c r="W44">
        <v>0</v>
      </c>
      <c r="X44">
        <v>0</v>
      </c>
      <c r="Y44">
        <v>0</v>
      </c>
    </row>
    <row r="45" spans="1:25" x14ac:dyDescent="0.3">
      <c r="A45">
        <v>21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5.577877043804107</v>
      </c>
      <c r="V45">
        <v>6.5939681269538131</v>
      </c>
      <c r="W45">
        <v>0</v>
      </c>
      <c r="X45">
        <v>0</v>
      </c>
      <c r="Y45">
        <v>0</v>
      </c>
    </row>
    <row r="46" spans="1:25" x14ac:dyDescent="0.3">
      <c r="A46">
        <v>22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0.19143583808896439</v>
      </c>
      <c r="U46">
        <v>4.7922977341724309</v>
      </c>
      <c r="V46">
        <v>0</v>
      </c>
      <c r="W46">
        <v>0</v>
      </c>
      <c r="X46">
        <v>0</v>
      </c>
      <c r="Y46">
        <v>0</v>
      </c>
    </row>
    <row r="47" spans="1:25" x14ac:dyDescent="0.3">
      <c r="A47">
        <v>22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5.0303242421869179</v>
      </c>
      <c r="V47">
        <v>6.0780600991749534</v>
      </c>
      <c r="W47">
        <v>0</v>
      </c>
      <c r="X47">
        <v>0</v>
      </c>
      <c r="Y47">
        <v>0</v>
      </c>
    </row>
    <row r="48" spans="1:25" x14ac:dyDescent="0.3">
      <c r="A48">
        <v>22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3.7125781668066069</v>
      </c>
      <c r="V48">
        <v>1.1369424894343909</v>
      </c>
      <c r="W48">
        <v>0</v>
      </c>
      <c r="X48">
        <v>0</v>
      </c>
      <c r="Y48">
        <v>0</v>
      </c>
    </row>
    <row r="49" spans="1:25" x14ac:dyDescent="0.3">
      <c r="A49">
        <v>23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0.56406974906223128</v>
      </c>
      <c r="U49">
        <v>3.6776899585815213</v>
      </c>
      <c r="V49">
        <v>0</v>
      </c>
      <c r="W49">
        <v>0</v>
      </c>
      <c r="X49">
        <v>0</v>
      </c>
      <c r="Y49">
        <v>0</v>
      </c>
    </row>
    <row r="50" spans="1:25" x14ac:dyDescent="0.3">
      <c r="A50">
        <v>23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5.6144186760795112</v>
      </c>
      <c r="V50">
        <v>4.0749108625129953</v>
      </c>
      <c r="W50">
        <v>0</v>
      </c>
      <c r="X50">
        <v>0</v>
      </c>
      <c r="Y50">
        <v>0</v>
      </c>
    </row>
    <row r="51" spans="1:25" x14ac:dyDescent="0.3">
      <c r="A51">
        <v>24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3.085937667728599</v>
      </c>
      <c r="W51">
        <v>7.3574444312504186</v>
      </c>
      <c r="X51">
        <v>0</v>
      </c>
      <c r="Y51">
        <v>0</v>
      </c>
    </row>
    <row r="52" spans="1:25" x14ac:dyDescent="0.3">
      <c r="A52">
        <v>24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0.36667915280900959</v>
      </c>
      <c r="W52">
        <v>4.8352202358945924</v>
      </c>
      <c r="X52">
        <v>0</v>
      </c>
      <c r="Y52">
        <v>0</v>
      </c>
    </row>
    <row r="53" spans="1:25" x14ac:dyDescent="0.3">
      <c r="A53">
        <v>25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5.8983366719849526</v>
      </c>
      <c r="V53">
        <v>6.4903725929430269</v>
      </c>
      <c r="W53">
        <v>0</v>
      </c>
      <c r="X53">
        <v>0</v>
      </c>
      <c r="Y53">
        <v>0</v>
      </c>
    </row>
    <row r="54" spans="1:25" x14ac:dyDescent="0.3">
      <c r="A54">
        <v>25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0.48825578396470182</v>
      </c>
      <c r="T54">
        <v>2.1338438760111131</v>
      </c>
      <c r="U54">
        <v>0</v>
      </c>
      <c r="V54">
        <v>0</v>
      </c>
      <c r="W54">
        <v>0</v>
      </c>
      <c r="X54">
        <v>0</v>
      </c>
      <c r="Y54">
        <v>0</v>
      </c>
    </row>
    <row r="55" spans="1:25" x14ac:dyDescent="0.3">
      <c r="A55">
        <v>26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1.2860286557405836</v>
      </c>
      <c r="W55">
        <v>2.5606066456427694</v>
      </c>
      <c r="X55">
        <v>0</v>
      </c>
      <c r="Y55">
        <v>0</v>
      </c>
    </row>
    <row r="56" spans="1:25" x14ac:dyDescent="0.3">
      <c r="A56">
        <v>26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5.3309139184595171</v>
      </c>
      <c r="S56">
        <v>0.63294420945768026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</row>
    <row r="57" spans="1:25" x14ac:dyDescent="0.3">
      <c r="A57">
        <v>27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0.69414741954687087</v>
      </c>
      <c r="V57">
        <v>3.8297862995212562</v>
      </c>
      <c r="W57">
        <v>0</v>
      </c>
      <c r="X57">
        <v>0</v>
      </c>
      <c r="Y57">
        <v>0</v>
      </c>
    </row>
    <row r="58" spans="1:25" x14ac:dyDescent="0.3">
      <c r="A58">
        <v>27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3.8231977564031672</v>
      </c>
      <c r="V58">
        <v>2.5048752386076627</v>
      </c>
      <c r="W58">
        <v>0</v>
      </c>
      <c r="X58">
        <v>0</v>
      </c>
      <c r="Y58">
        <v>0</v>
      </c>
    </row>
    <row r="59" spans="1:25" x14ac:dyDescent="0.3">
      <c r="A59">
        <v>27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5.2170844447252733</v>
      </c>
      <c r="V59">
        <v>1.469314400317939</v>
      </c>
      <c r="W59">
        <v>0</v>
      </c>
      <c r="X59">
        <v>0</v>
      </c>
      <c r="Y59">
        <v>0</v>
      </c>
    </row>
    <row r="60" spans="1:25" x14ac:dyDescent="0.3">
      <c r="A60">
        <v>28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3.6120876162026221</v>
      </c>
      <c r="V60">
        <v>5.2048504583848096</v>
      </c>
      <c r="W60">
        <v>0</v>
      </c>
      <c r="X60">
        <v>0</v>
      </c>
      <c r="Y60">
        <v>0</v>
      </c>
    </row>
    <row r="61" spans="1:25" x14ac:dyDescent="0.3">
      <c r="A61">
        <v>29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0.18169325640912803</v>
      </c>
      <c r="U61">
        <v>4.98683943013984</v>
      </c>
      <c r="V61">
        <v>0</v>
      </c>
      <c r="W61">
        <v>0</v>
      </c>
      <c r="X61">
        <v>0</v>
      </c>
      <c r="Y61">
        <v>0</v>
      </c>
    </row>
    <row r="62" spans="1:25" x14ac:dyDescent="0.3">
      <c r="A62">
        <v>30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3.7565998653016655</v>
      </c>
      <c r="W62">
        <v>6.7647028513005072</v>
      </c>
      <c r="X62">
        <v>0</v>
      </c>
      <c r="Y62">
        <v>0</v>
      </c>
    </row>
    <row r="63" spans="1:25" x14ac:dyDescent="0.3">
      <c r="A63">
        <v>30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0.14730240454477553</v>
      </c>
      <c r="U63">
        <v>4.1694484927008482</v>
      </c>
      <c r="V63">
        <v>0</v>
      </c>
      <c r="W63">
        <v>0</v>
      </c>
      <c r="X63">
        <v>0</v>
      </c>
      <c r="Y63">
        <v>0</v>
      </c>
    </row>
    <row r="64" spans="1:25" x14ac:dyDescent="0.3">
      <c r="A64">
        <v>30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3.3967151905831954</v>
      </c>
      <c r="W64">
        <v>7.2121458259574132</v>
      </c>
      <c r="X64">
        <v>0</v>
      </c>
      <c r="Y64">
        <v>0</v>
      </c>
    </row>
    <row r="65" spans="1:25" x14ac:dyDescent="0.3">
      <c r="A65">
        <v>31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3.4811852630894671</v>
      </c>
      <c r="U65">
        <v>2.80881880616433</v>
      </c>
      <c r="V65">
        <v>0</v>
      </c>
      <c r="W65">
        <v>0</v>
      </c>
      <c r="X65">
        <v>0</v>
      </c>
      <c r="Y65">
        <v>0</v>
      </c>
    </row>
    <row r="66" spans="1:25" x14ac:dyDescent="0.3">
      <c r="A66">
        <v>32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8.2434955630199064E-2</v>
      </c>
      <c r="T66">
        <v>4.6862066761485845</v>
      </c>
      <c r="U66">
        <v>0</v>
      </c>
      <c r="V66">
        <v>0</v>
      </c>
      <c r="W66">
        <v>0</v>
      </c>
      <c r="X66">
        <v>0</v>
      </c>
      <c r="Y66">
        <v>0</v>
      </c>
    </row>
    <row r="67" spans="1:25" x14ac:dyDescent="0.3">
      <c r="A67">
        <v>33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6.1980271176410104</v>
      </c>
      <c r="V67">
        <v>3.0695557321406404</v>
      </c>
      <c r="W67">
        <v>0</v>
      </c>
      <c r="X67">
        <v>0</v>
      </c>
      <c r="Y67">
        <v>0</v>
      </c>
    </row>
    <row r="68" spans="1:25" x14ac:dyDescent="0.3">
      <c r="A68">
        <v>33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6.8420839044046957</v>
      </c>
      <c r="U68">
        <v>7.1333612312695038</v>
      </c>
      <c r="V68">
        <v>0</v>
      </c>
      <c r="W68">
        <v>0</v>
      </c>
      <c r="X68">
        <v>0</v>
      </c>
      <c r="Y68">
        <v>0</v>
      </c>
    </row>
    <row r="69" spans="1:25" x14ac:dyDescent="0.3">
      <c r="A69">
        <v>34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2.5430856926722631</v>
      </c>
      <c r="V69">
        <v>2.2097813403877122</v>
      </c>
      <c r="W69">
        <v>0</v>
      </c>
      <c r="X69">
        <v>0</v>
      </c>
      <c r="Y69">
        <v>0</v>
      </c>
    </row>
    <row r="70" spans="1:25" x14ac:dyDescent="0.3">
      <c r="A70">
        <v>34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7.3131586073912427</v>
      </c>
      <c r="V70">
        <v>7.1700412807819891</v>
      </c>
      <c r="W70">
        <v>0</v>
      </c>
      <c r="X70">
        <v>0</v>
      </c>
      <c r="Y70">
        <v>0</v>
      </c>
    </row>
    <row r="71" spans="1:25" x14ac:dyDescent="0.3">
      <c r="A71">
        <v>35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5.2603767284149887</v>
      </c>
      <c r="V71">
        <v>7.0888278584042744E-2</v>
      </c>
      <c r="W71">
        <v>0</v>
      </c>
      <c r="X71">
        <v>0</v>
      </c>
      <c r="Y71">
        <v>0</v>
      </c>
    </row>
    <row r="72" spans="1:25" x14ac:dyDescent="0.3">
      <c r="A72">
        <v>36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5.9637940643189484</v>
      </c>
      <c r="V72">
        <v>3.0680377871983966</v>
      </c>
      <c r="W72">
        <v>0</v>
      </c>
      <c r="X72">
        <v>0</v>
      </c>
      <c r="Y72">
        <v>0</v>
      </c>
    </row>
    <row r="73" spans="1:25" x14ac:dyDescent="0.3">
      <c r="A73">
        <v>37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6.4763694240783503</v>
      </c>
      <c r="X73">
        <v>6.6059402062612298</v>
      </c>
      <c r="Y73">
        <v>0</v>
      </c>
    </row>
    <row r="74" spans="1:25" x14ac:dyDescent="0.3">
      <c r="A74">
        <v>38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1.6552210718135973</v>
      </c>
      <c r="V74">
        <v>1.6045229570630815</v>
      </c>
      <c r="W74">
        <v>0</v>
      </c>
      <c r="X74">
        <v>0</v>
      </c>
      <c r="Y74">
        <v>0</v>
      </c>
    </row>
    <row r="75" spans="1:25" x14ac:dyDescent="0.3">
      <c r="A75">
        <v>38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5.0657530052183164</v>
      </c>
      <c r="U75">
        <v>3.7660508160918416</v>
      </c>
      <c r="V75">
        <v>0</v>
      </c>
      <c r="W75">
        <v>0</v>
      </c>
      <c r="X75">
        <v>0</v>
      </c>
      <c r="Y75">
        <v>0</v>
      </c>
    </row>
    <row r="76" spans="1:25" x14ac:dyDescent="0.3">
      <c r="A76">
        <v>38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6.2944649682852782</v>
      </c>
      <c r="V76">
        <v>6.078057889294767</v>
      </c>
      <c r="W76">
        <v>0</v>
      </c>
      <c r="X76">
        <v>0</v>
      </c>
      <c r="Y76">
        <v>0</v>
      </c>
    </row>
    <row r="77" spans="1:25" x14ac:dyDescent="0.3">
      <c r="A77">
        <v>39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4.6758508501769516</v>
      </c>
      <c r="U77">
        <v>0.73686248967131318</v>
      </c>
      <c r="V77">
        <v>0</v>
      </c>
      <c r="W77">
        <v>0</v>
      </c>
      <c r="X77">
        <v>0</v>
      </c>
      <c r="Y77">
        <v>0</v>
      </c>
    </row>
    <row r="78" spans="1:25" x14ac:dyDescent="0.3">
      <c r="A78">
        <v>39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5.0594741933140268</v>
      </c>
      <c r="U78">
        <v>1.1145374311651686</v>
      </c>
      <c r="V78">
        <v>0</v>
      </c>
      <c r="W78">
        <v>0</v>
      </c>
      <c r="X78">
        <v>0</v>
      </c>
      <c r="Y78">
        <v>0</v>
      </c>
    </row>
    <row r="79" spans="1:25" x14ac:dyDescent="0.3">
      <c r="A79">
        <v>39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0.64237820567933912</v>
      </c>
      <c r="V79">
        <v>4.6703943156555576</v>
      </c>
      <c r="W79">
        <v>0</v>
      </c>
      <c r="X79">
        <v>0</v>
      </c>
      <c r="Y79">
        <v>0</v>
      </c>
    </row>
    <row r="80" spans="1:25" x14ac:dyDescent="0.3">
      <c r="A80">
        <v>40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5.4171622645089359</v>
      </c>
      <c r="V80">
        <v>5.5426537143144552</v>
      </c>
      <c r="W80">
        <v>0</v>
      </c>
      <c r="X80">
        <v>0</v>
      </c>
      <c r="Y80">
        <v>0</v>
      </c>
    </row>
    <row r="81" spans="1:25" x14ac:dyDescent="0.3">
      <c r="A81">
        <v>40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3.9448415055947499</v>
      </c>
      <c r="W81">
        <v>8.5972791994654116E-2</v>
      </c>
      <c r="X81">
        <v>0</v>
      </c>
      <c r="Y81">
        <v>0</v>
      </c>
    </row>
    <row r="82" spans="1:25" x14ac:dyDescent="0.3">
      <c r="A82">
        <v>41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3.692332042314554</v>
      </c>
      <c r="V82">
        <v>3.1843369636955599</v>
      </c>
      <c r="W82">
        <v>0</v>
      </c>
      <c r="X82">
        <v>0</v>
      </c>
      <c r="Y82">
        <v>0</v>
      </c>
    </row>
    <row r="83" spans="1:25" x14ac:dyDescent="0.3">
      <c r="A83">
        <v>41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1.4803102778264758</v>
      </c>
      <c r="V83">
        <v>4.1532145481899434</v>
      </c>
      <c r="W83">
        <v>0</v>
      </c>
      <c r="X83">
        <v>0</v>
      </c>
      <c r="Y83">
        <v>0</v>
      </c>
    </row>
    <row r="84" spans="1:25" x14ac:dyDescent="0.3">
      <c r="A84">
        <v>42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3.2057741243250577</v>
      </c>
      <c r="V84">
        <v>2.8611295632647842</v>
      </c>
      <c r="W84">
        <v>0</v>
      </c>
      <c r="X84">
        <v>0</v>
      </c>
      <c r="Y84">
        <v>0</v>
      </c>
    </row>
    <row r="85" spans="1:25" x14ac:dyDescent="0.3">
      <c r="A85">
        <v>43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1.6368843596630893</v>
      </c>
      <c r="U85">
        <v>3.1918367546265256</v>
      </c>
      <c r="V85">
        <v>0</v>
      </c>
      <c r="W85">
        <v>0</v>
      </c>
      <c r="X85">
        <v>0</v>
      </c>
      <c r="Y85">
        <v>0</v>
      </c>
    </row>
    <row r="86" spans="1:25" x14ac:dyDescent="0.3">
      <c r="A86">
        <v>43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2.408079098212728</v>
      </c>
      <c r="V86">
        <v>3.7003730151439949</v>
      </c>
      <c r="W86">
        <v>0</v>
      </c>
      <c r="X86">
        <v>0</v>
      </c>
      <c r="Y86">
        <v>0</v>
      </c>
    </row>
    <row r="87" spans="1:25" x14ac:dyDescent="0.3">
      <c r="A87">
        <v>43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4.3618003650545676</v>
      </c>
      <c r="U87">
        <v>4.4540950254932534</v>
      </c>
      <c r="V87">
        <v>0</v>
      </c>
      <c r="W87">
        <v>0</v>
      </c>
      <c r="X87">
        <v>0</v>
      </c>
      <c r="Y87">
        <v>0</v>
      </c>
    </row>
    <row r="88" spans="1:25" x14ac:dyDescent="0.3">
      <c r="A88">
        <v>44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2.1133533660715966</v>
      </c>
      <c r="U88">
        <v>2.7825331160065265</v>
      </c>
      <c r="V88">
        <v>0</v>
      </c>
      <c r="W88">
        <v>0</v>
      </c>
      <c r="X88">
        <v>0</v>
      </c>
      <c r="Y88">
        <v>0</v>
      </c>
    </row>
    <row r="89" spans="1:25" x14ac:dyDescent="0.3">
      <c r="A89">
        <v>45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2.8912623698818791</v>
      </c>
      <c r="T89">
        <v>1.7373888373850417</v>
      </c>
      <c r="U89">
        <v>0</v>
      </c>
      <c r="V89">
        <v>0</v>
      </c>
      <c r="W89">
        <v>0</v>
      </c>
      <c r="X89">
        <v>0</v>
      </c>
      <c r="Y89">
        <v>0</v>
      </c>
    </row>
    <row r="90" spans="1:25" x14ac:dyDescent="0.3">
      <c r="A90">
        <v>46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0.70481093482080504</v>
      </c>
      <c r="V90">
        <v>3.0698328556236629</v>
      </c>
      <c r="W90">
        <v>0</v>
      </c>
      <c r="X90">
        <v>0</v>
      </c>
      <c r="Y90">
        <v>0</v>
      </c>
    </row>
    <row r="91" spans="1:25" x14ac:dyDescent="0.3">
      <c r="A91">
        <v>47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7.0263141805092557</v>
      </c>
      <c r="V91">
        <v>3.8849675217627411</v>
      </c>
      <c r="W91">
        <v>0</v>
      </c>
      <c r="X91">
        <v>0</v>
      </c>
      <c r="Y91">
        <v>0</v>
      </c>
    </row>
    <row r="92" spans="1:25" x14ac:dyDescent="0.3">
      <c r="A92">
        <v>47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4.6860113861960011</v>
      </c>
      <c r="V92">
        <v>2.9231388393066622</v>
      </c>
      <c r="W92">
        <v>0</v>
      </c>
      <c r="X92">
        <v>0</v>
      </c>
      <c r="Y92">
        <v>0</v>
      </c>
    </row>
    <row r="93" spans="1:25" x14ac:dyDescent="0.3">
      <c r="A93">
        <v>48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1.4819910332317363</v>
      </c>
      <c r="V93">
        <v>4.8157503031095494</v>
      </c>
      <c r="W93">
        <v>0</v>
      </c>
      <c r="X93">
        <v>0</v>
      </c>
      <c r="Y93">
        <v>0</v>
      </c>
    </row>
    <row r="94" spans="1:25" x14ac:dyDescent="0.3">
      <c r="A94">
        <v>48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6.0836127227823242</v>
      </c>
      <c r="V94">
        <v>4.7732031447932437</v>
      </c>
      <c r="W94">
        <v>0</v>
      </c>
      <c r="X94">
        <v>0</v>
      </c>
      <c r="Y94">
        <v>0</v>
      </c>
    </row>
    <row r="95" spans="1:25" x14ac:dyDescent="0.3">
      <c r="A95">
        <v>48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3.2217517948266745</v>
      </c>
      <c r="V95">
        <v>1.8409720927861426</v>
      </c>
      <c r="W95">
        <v>0</v>
      </c>
      <c r="X95">
        <v>0</v>
      </c>
      <c r="Y95">
        <v>0</v>
      </c>
    </row>
    <row r="96" spans="1:25" x14ac:dyDescent="0.3">
      <c r="A96">
        <v>49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3.4641211496595465</v>
      </c>
      <c r="W96">
        <v>0.66506442165192425</v>
      </c>
      <c r="X96">
        <v>0</v>
      </c>
      <c r="Y96">
        <v>0</v>
      </c>
    </row>
    <row r="97" spans="1:25" x14ac:dyDescent="0.3">
      <c r="A97">
        <v>49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3.9679397626691211</v>
      </c>
      <c r="U97">
        <v>3.65620437294245</v>
      </c>
      <c r="V97">
        <v>0</v>
      </c>
      <c r="W97">
        <v>0</v>
      </c>
      <c r="X97">
        <v>0</v>
      </c>
      <c r="Y97">
        <v>0</v>
      </c>
    </row>
    <row r="98" spans="1:25" x14ac:dyDescent="0.3">
      <c r="A98">
        <v>50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5.812291629794923</v>
      </c>
      <c r="W98">
        <v>6.9759306996429089</v>
      </c>
      <c r="X98">
        <v>0</v>
      </c>
      <c r="Y98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F504C-138F-4F23-A9C9-BF27E229E0F8}">
  <sheetPr codeName="Sheet4"/>
  <dimension ref="A1:Y51"/>
  <sheetViews>
    <sheetView topLeftCell="E1" zoomScale="40" zoomScaleNormal="40" workbookViewId="0">
      <pane ySplit="1" topLeftCell="A2" activePane="bottomLeft" state="frozen"/>
      <selection activeCell="D1" sqref="D1"/>
      <selection pane="bottomLeft" activeCell="E7" sqref="A7:XFD7"/>
    </sheetView>
  </sheetViews>
  <sheetFormatPr defaultRowHeight="14" x14ac:dyDescent="0.3"/>
  <sheetData>
    <row r="1" spans="1:25" x14ac:dyDescent="0.3">
      <c r="A1" t="s">
        <v>44</v>
      </c>
      <c r="B1" t="s">
        <v>17</v>
      </c>
      <c r="C1" s="1" t="s">
        <v>18</v>
      </c>
      <c r="D1" t="s">
        <v>19</v>
      </c>
      <c r="E1" s="1" t="s">
        <v>20</v>
      </c>
      <c r="F1" t="s">
        <v>21</v>
      </c>
      <c r="G1" s="1" t="s">
        <v>22</v>
      </c>
      <c r="H1" t="s">
        <v>23</v>
      </c>
      <c r="I1" s="1" t="s">
        <v>24</v>
      </c>
      <c r="J1" t="s">
        <v>25</v>
      </c>
      <c r="K1" s="1" t="s">
        <v>26</v>
      </c>
      <c r="L1" t="s">
        <v>27</v>
      </c>
      <c r="M1" s="1" t="s">
        <v>28</v>
      </c>
      <c r="N1" t="s">
        <v>29</v>
      </c>
      <c r="O1" s="1" t="s">
        <v>30</v>
      </c>
      <c r="P1" t="s">
        <v>31</v>
      </c>
      <c r="Q1" s="1" t="s">
        <v>32</v>
      </c>
      <c r="R1" t="s">
        <v>33</v>
      </c>
      <c r="S1" s="1" t="s">
        <v>34</v>
      </c>
      <c r="T1" t="s">
        <v>35</v>
      </c>
      <c r="U1" s="1" t="s">
        <v>36</v>
      </c>
      <c r="V1" t="s">
        <v>37</v>
      </c>
      <c r="W1" s="1" t="s">
        <v>38</v>
      </c>
      <c r="X1" t="s">
        <v>39</v>
      </c>
      <c r="Y1" s="1" t="s">
        <v>40</v>
      </c>
    </row>
    <row r="2" spans="1:25" x14ac:dyDescent="0.3">
      <c r="A2">
        <v>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5.8999920182163725</v>
      </c>
      <c r="V2">
        <v>6.789921856872275</v>
      </c>
      <c r="W2">
        <v>7.2803242174944014</v>
      </c>
      <c r="X2">
        <v>0</v>
      </c>
      <c r="Y2">
        <v>0</v>
      </c>
    </row>
    <row r="3" spans="1:25" x14ac:dyDescent="0.3">
      <c r="A3">
        <v>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3.780310654531768</v>
      </c>
      <c r="T3">
        <v>5.2866007792423906</v>
      </c>
      <c r="U3">
        <v>13.815131759321655</v>
      </c>
      <c r="V3">
        <v>3.8682094919017231</v>
      </c>
      <c r="W3">
        <v>0</v>
      </c>
      <c r="X3">
        <v>0</v>
      </c>
      <c r="Y3">
        <v>0</v>
      </c>
    </row>
    <row r="4" spans="1:25" x14ac:dyDescent="0.3">
      <c r="A4">
        <v>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4.8223690811341724</v>
      </c>
      <c r="V4">
        <v>3.9129282189779095</v>
      </c>
      <c r="W4">
        <v>1.3742007139298962</v>
      </c>
      <c r="X4">
        <v>0</v>
      </c>
      <c r="Y4">
        <v>0</v>
      </c>
    </row>
    <row r="5" spans="1:25" x14ac:dyDescent="0.3">
      <c r="A5">
        <v>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0.81630976679811851</v>
      </c>
      <c r="S5">
        <v>3.6085409839582052</v>
      </c>
      <c r="T5">
        <v>1.1458744366631914</v>
      </c>
      <c r="U5">
        <v>5.7224783521277525</v>
      </c>
      <c r="V5">
        <v>0</v>
      </c>
      <c r="W5">
        <v>0</v>
      </c>
      <c r="X5">
        <v>0</v>
      </c>
      <c r="Y5">
        <v>0</v>
      </c>
    </row>
    <row r="6" spans="1:25" x14ac:dyDescent="0.3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0.18193084966685319</v>
      </c>
      <c r="U6">
        <v>6.4530676946097802</v>
      </c>
      <c r="V6">
        <v>0</v>
      </c>
      <c r="W6">
        <v>0</v>
      </c>
      <c r="X6">
        <v>0</v>
      </c>
      <c r="Y6">
        <v>0</v>
      </c>
    </row>
    <row r="7" spans="1:25" x14ac:dyDescent="0.3">
      <c r="A7">
        <v>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5.2582627809347056</v>
      </c>
      <c r="U7">
        <v>10.258073097340226</v>
      </c>
      <c r="V7">
        <v>0</v>
      </c>
      <c r="W7">
        <v>0</v>
      </c>
      <c r="X7">
        <v>0</v>
      </c>
      <c r="Y7">
        <v>0</v>
      </c>
    </row>
    <row r="8" spans="1:25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4.5365455135854518</v>
      </c>
      <c r="U8">
        <v>5.9812187521085862</v>
      </c>
      <c r="V8">
        <v>6.2895212192678027</v>
      </c>
      <c r="W8">
        <v>0</v>
      </c>
      <c r="X8">
        <v>0</v>
      </c>
      <c r="Y8">
        <v>0</v>
      </c>
    </row>
    <row r="9" spans="1:25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2.567578320712312</v>
      </c>
      <c r="T9">
        <v>1.594276170752015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4.8618209478253336</v>
      </c>
      <c r="T10">
        <v>10.823061925533036</v>
      </c>
      <c r="U10">
        <v>0.51294558485287522</v>
      </c>
      <c r="V10">
        <v>0</v>
      </c>
      <c r="W10">
        <v>0</v>
      </c>
      <c r="X10">
        <v>0</v>
      </c>
      <c r="Y10">
        <v>0</v>
      </c>
    </row>
    <row r="11" spans="1:25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7.1839279455302734</v>
      </c>
      <c r="V11">
        <v>12.764960814171307</v>
      </c>
      <c r="W11">
        <v>0</v>
      </c>
      <c r="X11">
        <v>0</v>
      </c>
      <c r="Y11">
        <v>0</v>
      </c>
    </row>
    <row r="12" spans="1:25" x14ac:dyDescent="0.3">
      <c r="A12">
        <v>11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10.638991933299968</v>
      </c>
      <c r="U12">
        <v>0.51824623672325243</v>
      </c>
      <c r="V12">
        <v>0</v>
      </c>
      <c r="W12">
        <v>0</v>
      </c>
      <c r="X12">
        <v>0</v>
      </c>
      <c r="Y12">
        <v>0</v>
      </c>
    </row>
    <row r="13" spans="1:25" x14ac:dyDescent="0.3">
      <c r="A13">
        <v>12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3.1293563478457451</v>
      </c>
      <c r="U13">
        <v>0.14210194903840215</v>
      </c>
      <c r="V13">
        <v>5.4637886288280884</v>
      </c>
      <c r="W13">
        <v>4.7304849642544893</v>
      </c>
      <c r="X13">
        <v>0</v>
      </c>
      <c r="Y13">
        <v>0</v>
      </c>
    </row>
    <row r="14" spans="1:25" x14ac:dyDescent="0.3">
      <c r="A14">
        <v>13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0.3058234052882074</v>
      </c>
      <c r="U14">
        <v>3.9445260574458421</v>
      </c>
      <c r="V14">
        <v>0</v>
      </c>
      <c r="W14">
        <v>0</v>
      </c>
      <c r="X14">
        <v>0</v>
      </c>
      <c r="Y14">
        <v>0</v>
      </c>
    </row>
    <row r="15" spans="1:25" x14ac:dyDescent="0.3">
      <c r="A15">
        <v>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2.8973189584694228</v>
      </c>
      <c r="U15">
        <v>5.5759362936031902</v>
      </c>
      <c r="V15">
        <v>0</v>
      </c>
      <c r="W15">
        <v>0</v>
      </c>
      <c r="X15">
        <v>0</v>
      </c>
      <c r="Y15">
        <v>0</v>
      </c>
    </row>
    <row r="16" spans="1:25" x14ac:dyDescent="0.3">
      <c r="A16">
        <v>15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2.2042602649312291</v>
      </c>
      <c r="T16">
        <v>6.8456192156632696</v>
      </c>
      <c r="U16">
        <v>5.6053179516658096</v>
      </c>
      <c r="V16">
        <v>0</v>
      </c>
      <c r="W16">
        <v>0</v>
      </c>
      <c r="X16">
        <v>0</v>
      </c>
      <c r="Y16">
        <v>0</v>
      </c>
    </row>
    <row r="17" spans="1:25" x14ac:dyDescent="0.3">
      <c r="A17">
        <v>16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0.93694480728093033</v>
      </c>
      <c r="W17">
        <v>5.1433587671631384</v>
      </c>
      <c r="X17">
        <v>0</v>
      </c>
      <c r="Y17">
        <v>0</v>
      </c>
    </row>
    <row r="18" spans="1:25" x14ac:dyDescent="0.3">
      <c r="A18">
        <v>17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11.364847753301023</v>
      </c>
      <c r="V18">
        <v>18.471030468536398</v>
      </c>
      <c r="W18">
        <v>10.63703126205913</v>
      </c>
      <c r="X18">
        <v>0</v>
      </c>
      <c r="Y18">
        <v>0</v>
      </c>
    </row>
    <row r="19" spans="1:25" x14ac:dyDescent="0.3">
      <c r="A19">
        <v>18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5.4160673741655128</v>
      </c>
      <c r="U19">
        <v>12.939560834837044</v>
      </c>
      <c r="V19">
        <v>2.6956304784671379</v>
      </c>
      <c r="W19">
        <v>0</v>
      </c>
      <c r="X19">
        <v>0</v>
      </c>
      <c r="Y19">
        <v>0</v>
      </c>
    </row>
    <row r="20" spans="1:25" x14ac:dyDescent="0.3">
      <c r="A20">
        <v>19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5.9480880066496917</v>
      </c>
      <c r="T20">
        <v>6.5239633924908187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 x14ac:dyDescent="0.3">
      <c r="A21">
        <v>20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1.2640857997386548</v>
      </c>
      <c r="T21">
        <v>5.5193044859663694</v>
      </c>
      <c r="U21">
        <v>5.1674487231536945</v>
      </c>
      <c r="V21">
        <v>10.738415480329042</v>
      </c>
      <c r="W21">
        <v>0</v>
      </c>
      <c r="X21">
        <v>0</v>
      </c>
      <c r="Y21">
        <v>0</v>
      </c>
    </row>
    <row r="22" spans="1:25" x14ac:dyDescent="0.3">
      <c r="A22">
        <v>21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7.3850182105565763</v>
      </c>
      <c r="V22">
        <v>7.805122688118451</v>
      </c>
      <c r="W22">
        <v>0</v>
      </c>
      <c r="X22">
        <v>0</v>
      </c>
      <c r="Y22">
        <v>0</v>
      </c>
    </row>
    <row r="23" spans="1:25" x14ac:dyDescent="0.3">
      <c r="A23">
        <v>22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0.19143583808896439</v>
      </c>
      <c r="U23">
        <v>13.535200143165955</v>
      </c>
      <c r="V23">
        <v>7.2150025886093445</v>
      </c>
      <c r="W23">
        <v>0</v>
      </c>
      <c r="X23">
        <v>0</v>
      </c>
      <c r="Y23">
        <v>0</v>
      </c>
    </row>
    <row r="24" spans="1:25" x14ac:dyDescent="0.3">
      <c r="A24">
        <v>23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0.56406974906223128</v>
      </c>
      <c r="U24">
        <v>9.292108634661032</v>
      </c>
      <c r="V24">
        <v>4.0749108625129953</v>
      </c>
      <c r="W24">
        <v>0</v>
      </c>
      <c r="X24">
        <v>0</v>
      </c>
      <c r="Y24">
        <v>0</v>
      </c>
    </row>
    <row r="25" spans="1:25" x14ac:dyDescent="0.3">
      <c r="A25">
        <v>24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3.4526168205376084</v>
      </c>
      <c r="W25">
        <v>12.19266466714501</v>
      </c>
      <c r="X25">
        <v>0</v>
      </c>
      <c r="Y25">
        <v>0</v>
      </c>
    </row>
    <row r="26" spans="1:25" x14ac:dyDescent="0.3">
      <c r="A26">
        <v>25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0.48825578396470182</v>
      </c>
      <c r="T26">
        <v>2.1338438760111131</v>
      </c>
      <c r="U26">
        <v>5.8983366719849526</v>
      </c>
      <c r="V26">
        <v>6.4903725929430269</v>
      </c>
      <c r="W26">
        <v>0</v>
      </c>
      <c r="X26">
        <v>0</v>
      </c>
      <c r="Y26">
        <v>0</v>
      </c>
    </row>
    <row r="27" spans="1:25" x14ac:dyDescent="0.3">
      <c r="A27">
        <v>26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5.3309139184595171</v>
      </c>
      <c r="S27">
        <v>0.63294420945768026</v>
      </c>
      <c r="T27">
        <v>0</v>
      </c>
      <c r="U27">
        <v>0</v>
      </c>
      <c r="V27">
        <v>1.2860286557405836</v>
      </c>
      <c r="W27">
        <v>2.5606066456427694</v>
      </c>
      <c r="X27">
        <v>0</v>
      </c>
      <c r="Y27">
        <v>0</v>
      </c>
    </row>
    <row r="28" spans="1:25" x14ac:dyDescent="0.3">
      <c r="A28">
        <v>27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9.7344296206753107</v>
      </c>
      <c r="V28">
        <v>7.8039759384468574</v>
      </c>
      <c r="W28">
        <v>0</v>
      </c>
      <c r="X28">
        <v>0</v>
      </c>
      <c r="Y28">
        <v>0</v>
      </c>
    </row>
    <row r="29" spans="1:25" x14ac:dyDescent="0.3">
      <c r="A29">
        <v>28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3.6120876162026221</v>
      </c>
      <c r="V29">
        <v>5.2048504583848096</v>
      </c>
      <c r="W29">
        <v>0</v>
      </c>
      <c r="X29">
        <v>0</v>
      </c>
      <c r="Y29">
        <v>0</v>
      </c>
    </row>
    <row r="30" spans="1:25" x14ac:dyDescent="0.3">
      <c r="A30">
        <v>29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0.18169325640912803</v>
      </c>
      <c r="U30">
        <v>4.98683943013984</v>
      </c>
      <c r="V30">
        <v>0</v>
      </c>
      <c r="W30">
        <v>0</v>
      </c>
      <c r="X30">
        <v>0</v>
      </c>
      <c r="Y30">
        <v>0</v>
      </c>
    </row>
    <row r="31" spans="1:25" x14ac:dyDescent="0.3">
      <c r="A31">
        <v>30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0.14730240454477553</v>
      </c>
      <c r="U31">
        <v>4.1694484927008482</v>
      </c>
      <c r="V31">
        <v>7.1533150558848604</v>
      </c>
      <c r="W31">
        <v>13.976848677257919</v>
      </c>
      <c r="X31">
        <v>0</v>
      </c>
      <c r="Y31">
        <v>0</v>
      </c>
    </row>
    <row r="32" spans="1:25" x14ac:dyDescent="0.3">
      <c r="A32">
        <v>31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3.4811852630894671</v>
      </c>
      <c r="U32">
        <v>2.80881880616433</v>
      </c>
      <c r="V32">
        <v>0</v>
      </c>
      <c r="W32">
        <v>0</v>
      </c>
      <c r="X32">
        <v>0</v>
      </c>
      <c r="Y32">
        <v>0</v>
      </c>
    </row>
    <row r="33" spans="1:25" x14ac:dyDescent="0.3">
      <c r="A33">
        <v>32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8.2434955630199064E-2</v>
      </c>
      <c r="T33">
        <v>4.6862066761485845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 x14ac:dyDescent="0.3">
      <c r="A34">
        <v>33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6.8420839044046957</v>
      </c>
      <c r="U34">
        <v>13.331388348910515</v>
      </c>
      <c r="V34">
        <v>3.0695557321406404</v>
      </c>
      <c r="W34">
        <v>0</v>
      </c>
      <c r="X34">
        <v>0</v>
      </c>
      <c r="Y34">
        <v>0</v>
      </c>
    </row>
    <row r="35" spans="1:25" x14ac:dyDescent="0.3">
      <c r="A35">
        <v>34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9.8562443000635049</v>
      </c>
      <c r="V35">
        <v>9.3798226211697013</v>
      </c>
      <c r="W35">
        <v>0</v>
      </c>
      <c r="X35">
        <v>0</v>
      </c>
      <c r="Y35">
        <v>0</v>
      </c>
    </row>
    <row r="36" spans="1:25" x14ac:dyDescent="0.3">
      <c r="A36">
        <v>35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5.2603767284149887</v>
      </c>
      <c r="V36">
        <v>7.0888278584042744E-2</v>
      </c>
      <c r="W36">
        <v>0</v>
      </c>
      <c r="X36">
        <v>0</v>
      </c>
      <c r="Y36">
        <v>0</v>
      </c>
    </row>
    <row r="37" spans="1:25" x14ac:dyDescent="0.3">
      <c r="A37">
        <v>36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5.9637940643189484</v>
      </c>
      <c r="V37">
        <v>3.0680377871983966</v>
      </c>
      <c r="W37">
        <v>0</v>
      </c>
      <c r="X37">
        <v>0</v>
      </c>
      <c r="Y37">
        <v>0</v>
      </c>
    </row>
    <row r="38" spans="1:25" x14ac:dyDescent="0.3">
      <c r="A38">
        <v>37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6.4763694240783503</v>
      </c>
      <c r="X38">
        <v>6.6059402062612298</v>
      </c>
      <c r="Y38">
        <v>0</v>
      </c>
    </row>
    <row r="39" spans="1:25" x14ac:dyDescent="0.3">
      <c r="A39">
        <v>38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5.0657530052183164</v>
      </c>
      <c r="U39">
        <v>11.715736856190716</v>
      </c>
      <c r="V39">
        <v>7.6825808463578484</v>
      </c>
      <c r="W39">
        <v>0</v>
      </c>
      <c r="X39">
        <v>0</v>
      </c>
      <c r="Y39">
        <v>0</v>
      </c>
    </row>
    <row r="40" spans="1:25" x14ac:dyDescent="0.3">
      <c r="A40">
        <v>39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9.7353250434909775</v>
      </c>
      <c r="U40">
        <v>2.4937781265158208</v>
      </c>
      <c r="V40">
        <v>4.6703943156555576</v>
      </c>
      <c r="W40">
        <v>0</v>
      </c>
      <c r="X40">
        <v>0</v>
      </c>
      <c r="Y40">
        <v>0</v>
      </c>
    </row>
    <row r="41" spans="1:25" x14ac:dyDescent="0.3">
      <c r="A41">
        <v>40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5.4171622645089359</v>
      </c>
      <c r="V41">
        <v>9.4874952199092046</v>
      </c>
      <c r="W41">
        <v>8.5972791994654116E-2</v>
      </c>
      <c r="X41">
        <v>0</v>
      </c>
      <c r="Y41">
        <v>0</v>
      </c>
    </row>
    <row r="42" spans="1:25" x14ac:dyDescent="0.3">
      <c r="A42">
        <v>41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5.1726423201410299</v>
      </c>
      <c r="V42">
        <v>7.3375515118855033</v>
      </c>
      <c r="W42">
        <v>0</v>
      </c>
      <c r="X42">
        <v>0</v>
      </c>
      <c r="Y42">
        <v>0</v>
      </c>
    </row>
    <row r="43" spans="1:25" x14ac:dyDescent="0.3">
      <c r="A43">
        <v>42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3.2057741243250577</v>
      </c>
      <c r="V43">
        <v>2.8611295632647842</v>
      </c>
      <c r="W43">
        <v>0</v>
      </c>
      <c r="X43">
        <v>0</v>
      </c>
      <c r="Y43">
        <v>0</v>
      </c>
    </row>
    <row r="44" spans="1:25" x14ac:dyDescent="0.3">
      <c r="A44">
        <v>43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5.9986847247176573</v>
      </c>
      <c r="U44">
        <v>10.054010878332507</v>
      </c>
      <c r="V44">
        <v>3.7003730151439949</v>
      </c>
      <c r="W44">
        <v>0</v>
      </c>
      <c r="X44">
        <v>0</v>
      </c>
      <c r="Y44">
        <v>0</v>
      </c>
    </row>
    <row r="45" spans="1:25" x14ac:dyDescent="0.3">
      <c r="A45">
        <v>44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2.1133533660715966</v>
      </c>
      <c r="U45">
        <v>2.7825331160065265</v>
      </c>
      <c r="V45">
        <v>0</v>
      </c>
      <c r="W45">
        <v>0</v>
      </c>
      <c r="X45">
        <v>0</v>
      </c>
      <c r="Y45">
        <v>0</v>
      </c>
    </row>
    <row r="46" spans="1:25" x14ac:dyDescent="0.3">
      <c r="A46">
        <v>45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2.8912623698818791</v>
      </c>
      <c r="T46">
        <v>1.7373888373850417</v>
      </c>
      <c r="U46">
        <v>0</v>
      </c>
      <c r="V46">
        <v>0</v>
      </c>
      <c r="W46">
        <v>0</v>
      </c>
      <c r="X46">
        <v>0</v>
      </c>
      <c r="Y46">
        <v>0</v>
      </c>
    </row>
    <row r="47" spans="1:25" x14ac:dyDescent="0.3">
      <c r="A47">
        <v>46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0.70481093482080504</v>
      </c>
      <c r="V47">
        <v>3.0698328556236629</v>
      </c>
      <c r="W47">
        <v>0</v>
      </c>
      <c r="X47">
        <v>0</v>
      </c>
      <c r="Y47">
        <v>0</v>
      </c>
    </row>
    <row r="48" spans="1:25" x14ac:dyDescent="0.3">
      <c r="A48">
        <v>47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11.712325566705257</v>
      </c>
      <c r="V48">
        <v>6.8081063610694033</v>
      </c>
      <c r="W48">
        <v>0</v>
      </c>
      <c r="X48">
        <v>0</v>
      </c>
      <c r="Y48">
        <v>0</v>
      </c>
    </row>
    <row r="49" spans="1:25" x14ac:dyDescent="0.3">
      <c r="A49">
        <v>48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10.787355550840735</v>
      </c>
      <c r="V49">
        <v>11.429925540688934</v>
      </c>
      <c r="W49">
        <v>0</v>
      </c>
      <c r="X49">
        <v>0</v>
      </c>
      <c r="Y49">
        <v>0</v>
      </c>
    </row>
    <row r="50" spans="1:25" x14ac:dyDescent="0.3">
      <c r="A50">
        <v>49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3.9679397626691211</v>
      </c>
      <c r="U50">
        <v>3.65620437294245</v>
      </c>
      <c r="V50">
        <v>3.4641211496595465</v>
      </c>
      <c r="W50">
        <v>0.66506442165192425</v>
      </c>
      <c r="X50">
        <v>0</v>
      </c>
      <c r="Y50">
        <v>0</v>
      </c>
    </row>
    <row r="51" spans="1:25" x14ac:dyDescent="0.3">
      <c r="A51">
        <v>50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5.812291629794923</v>
      </c>
      <c r="W51">
        <v>6.9759306996429089</v>
      </c>
      <c r="X51">
        <v>0</v>
      </c>
      <c r="Y51"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CD5D8-1E6E-45E0-B1FC-18DC4B34D3DF}">
  <sheetPr codeName="Sheet5"/>
  <dimension ref="A1:AB1444"/>
  <sheetViews>
    <sheetView tabSelected="1" zoomScale="70" zoomScaleNormal="70" workbookViewId="0">
      <pane ySplit="1" topLeftCell="A2" activePane="bottomLeft" state="frozen"/>
      <selection pane="bottomLeft" activeCell="N24" sqref="N24"/>
    </sheetView>
  </sheetViews>
  <sheetFormatPr defaultRowHeight="14" x14ac:dyDescent="0.3"/>
  <cols>
    <col min="25" max="25" width="18.33203125" customWidth="1"/>
    <col min="28" max="28" width="11.75" style="3" customWidth="1"/>
  </cols>
  <sheetData>
    <row r="1" spans="1:28" x14ac:dyDescent="0.3">
      <c r="A1" t="s">
        <v>17</v>
      </c>
      <c r="B1" s="1" t="s">
        <v>18</v>
      </c>
      <c r="C1" t="s">
        <v>19</v>
      </c>
      <c r="D1" s="1" t="s">
        <v>20</v>
      </c>
      <c r="E1" t="s">
        <v>21</v>
      </c>
      <c r="F1" s="1" t="s">
        <v>22</v>
      </c>
      <c r="G1" t="s">
        <v>23</v>
      </c>
      <c r="H1" s="1" t="s">
        <v>24</v>
      </c>
      <c r="I1" t="s">
        <v>25</v>
      </c>
      <c r="J1" s="1" t="s">
        <v>26</v>
      </c>
      <c r="K1" t="s">
        <v>27</v>
      </c>
      <c r="L1" s="1" t="s">
        <v>28</v>
      </c>
      <c r="M1" t="s">
        <v>29</v>
      </c>
      <c r="N1" s="1" t="s">
        <v>30</v>
      </c>
      <c r="O1" t="s">
        <v>31</v>
      </c>
      <c r="P1" s="1" t="s">
        <v>32</v>
      </c>
      <c r="Q1" t="s">
        <v>33</v>
      </c>
      <c r="R1" s="1" t="s">
        <v>34</v>
      </c>
      <c r="S1" t="s">
        <v>35</v>
      </c>
      <c r="T1" s="1" t="s">
        <v>36</v>
      </c>
      <c r="U1" t="s">
        <v>37</v>
      </c>
      <c r="V1" s="1" t="s">
        <v>38</v>
      </c>
      <c r="W1" t="s">
        <v>39</v>
      </c>
      <c r="X1" s="1" t="s">
        <v>40</v>
      </c>
    </row>
    <row r="2" spans="1:28" ht="39" x14ac:dyDescent="0.3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6.1472236852576359</v>
      </c>
      <c r="R2">
        <v>28.329582297281654</v>
      </c>
      <c r="S2">
        <v>116.94926327687861</v>
      </c>
      <c r="T2">
        <v>269.44361526429924</v>
      </c>
      <c r="U2">
        <v>204.32965355395729</v>
      </c>
      <c r="V2">
        <v>72.098857252314588</v>
      </c>
      <c r="W2">
        <v>6.6059402062612298</v>
      </c>
      <c r="X2">
        <v>0</v>
      </c>
      <c r="Y2" t="s">
        <v>59</v>
      </c>
      <c r="AB2" s="4" t="s">
        <v>55</v>
      </c>
    </row>
    <row r="3" spans="1:28" x14ac:dyDescent="0.35">
      <c r="A3">
        <v>20.25704567748954</v>
      </c>
      <c r="B3">
        <v>21.987922456425078</v>
      </c>
      <c r="C3">
        <v>22.621788325554711</v>
      </c>
      <c r="D3">
        <v>20.946522447275868</v>
      </c>
      <c r="E3">
        <v>20.236962010390084</v>
      </c>
      <c r="F3">
        <v>19.604487793486449</v>
      </c>
      <c r="G3">
        <v>24.865360833825616</v>
      </c>
      <c r="H3">
        <v>38.806937124965692</v>
      </c>
      <c r="I3">
        <v>40.099746946297095</v>
      </c>
      <c r="J3">
        <v>24.661837615257205</v>
      </c>
      <c r="K3">
        <v>19.088096078759097</v>
      </c>
      <c r="L3">
        <v>18.412956070762327</v>
      </c>
      <c r="M3">
        <v>18.897028279585658</v>
      </c>
      <c r="N3">
        <v>22.588989569986712</v>
      </c>
      <c r="O3">
        <v>17.910115534016949</v>
      </c>
      <c r="P3">
        <v>19.546833522736044</v>
      </c>
      <c r="Q3">
        <v>28.592632785521879</v>
      </c>
      <c r="R3">
        <v>25.818308938329849</v>
      </c>
      <c r="S3">
        <v>34.846919065998172</v>
      </c>
      <c r="T3">
        <v>39.607280889374501</v>
      </c>
      <c r="U3">
        <v>34.981530687127268</v>
      </c>
      <c r="V3">
        <v>38.304027841019042</v>
      </c>
      <c r="W3">
        <v>35.374707419213081</v>
      </c>
      <c r="X3">
        <v>27.556922988159862</v>
      </c>
      <c r="Y3" t="s">
        <v>58</v>
      </c>
      <c r="AB3" s="5" t="s">
        <v>56</v>
      </c>
    </row>
    <row r="4" spans="1:28" ht="14.5" thickBot="1" x14ac:dyDescent="0.3">
      <c r="A4">
        <v>83.707092312651866</v>
      </c>
      <c r="B4">
        <v>127.89305321175615</v>
      </c>
      <c r="C4">
        <v>54.037840740170182</v>
      </c>
      <c r="D4">
        <v>11.226351890633293</v>
      </c>
      <c r="E4">
        <v>7.5430398884658134E-2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3.0736118426288179</v>
      </c>
      <c r="W4">
        <v>19.022449720620322</v>
      </c>
      <c r="X4">
        <v>67.697992780595285</v>
      </c>
      <c r="Y4" t="s">
        <v>66</v>
      </c>
      <c r="AB4" s="6" t="s">
        <v>57</v>
      </c>
    </row>
    <row r="5" spans="1:28" x14ac:dyDescent="0.3">
      <c r="AB5" s="3">
        <v>18.2</v>
      </c>
    </row>
    <row r="6" spans="1:28" x14ac:dyDescent="0.3">
      <c r="AB6" s="3">
        <v>16.224</v>
      </c>
    </row>
    <row r="7" spans="1:28" x14ac:dyDescent="0.3">
      <c r="AB7" s="3">
        <v>14.940305359403629</v>
      </c>
    </row>
    <row r="8" spans="1:28" x14ac:dyDescent="0.3">
      <c r="AB8" s="3">
        <v>14.471021764382858</v>
      </c>
    </row>
    <row r="9" spans="1:28" x14ac:dyDescent="0.3">
      <c r="X9" t="s">
        <v>65</v>
      </c>
      <c r="AB9" s="3">
        <v>14.42891124699932</v>
      </c>
    </row>
    <row r="10" spans="1:28" x14ac:dyDescent="0.3">
      <c r="X10">
        <f>MAX(A2:X2)</f>
        <v>269.44361526429924</v>
      </c>
      <c r="AB10" s="3">
        <v>14.538804775633526</v>
      </c>
    </row>
    <row r="11" spans="1:28" x14ac:dyDescent="0.3">
      <c r="AB11" s="3">
        <v>14.549702131827535</v>
      </c>
    </row>
    <row r="12" spans="1:28" x14ac:dyDescent="0.3">
      <c r="X12" t="s">
        <v>65</v>
      </c>
      <c r="AB12" s="3">
        <v>14.608603108609364</v>
      </c>
    </row>
    <row r="13" spans="1:28" x14ac:dyDescent="0.3">
      <c r="X13">
        <f>MAX(A4:X4)</f>
        <v>127.89305321175615</v>
      </c>
      <c r="AB13" s="3">
        <v>14.627507515201865</v>
      </c>
    </row>
    <row r="14" spans="1:28" x14ac:dyDescent="0.3">
      <c r="AB14" s="3">
        <v>14.763415173152211</v>
      </c>
    </row>
    <row r="15" spans="1:28" x14ac:dyDescent="0.3">
      <c r="AB15" s="3">
        <v>14.717325915441899</v>
      </c>
    </row>
    <row r="16" spans="1:28" x14ac:dyDescent="0.3">
      <c r="AB16" s="3">
        <v>14.739239588078314</v>
      </c>
    </row>
    <row r="17" spans="28:28" x14ac:dyDescent="0.3">
      <c r="AB17" s="3">
        <v>14.632999999999999</v>
      </c>
    </row>
    <row r="18" spans="28:28" x14ac:dyDescent="0.3">
      <c r="AB18" s="3">
        <v>14.86</v>
      </c>
    </row>
    <row r="19" spans="28:28" x14ac:dyDescent="0.3">
      <c r="AB19" s="3">
        <v>14.831</v>
      </c>
    </row>
    <row r="20" spans="28:28" x14ac:dyDescent="0.3">
      <c r="AB20" s="3">
        <v>14.804</v>
      </c>
    </row>
    <row r="21" spans="28:28" x14ac:dyDescent="0.3">
      <c r="AB21" s="3">
        <v>17.228000000000002</v>
      </c>
    </row>
    <row r="22" spans="28:28" x14ac:dyDescent="0.3">
      <c r="AB22" s="3">
        <v>15.852076942284461</v>
      </c>
    </row>
    <row r="23" spans="28:28" x14ac:dyDescent="0.3">
      <c r="AB23" s="3">
        <v>15.631861887499774</v>
      </c>
    </row>
    <row r="24" spans="28:28" x14ac:dyDescent="0.3">
      <c r="AB24" s="3">
        <v>15.731807542910794</v>
      </c>
    </row>
    <row r="25" spans="28:28" x14ac:dyDescent="0.3">
      <c r="AB25" s="3">
        <v>15.741754724953235</v>
      </c>
    </row>
    <row r="26" spans="28:28" x14ac:dyDescent="0.3">
      <c r="AB26" s="3">
        <v>17.124703367332046</v>
      </c>
    </row>
    <row r="27" spans="28:28" x14ac:dyDescent="0.3">
      <c r="AB27" s="3">
        <v>17.344653408019266</v>
      </c>
    </row>
    <row r="28" spans="28:28" x14ac:dyDescent="0.3">
      <c r="AB28" s="3">
        <v>17.328604788598806</v>
      </c>
    </row>
    <row r="29" spans="28:28" x14ac:dyDescent="0.3">
      <c r="AB29" s="3">
        <v>17.372557454206195</v>
      </c>
    </row>
    <row r="30" spans="28:28" x14ac:dyDescent="0.3">
      <c r="AB30" s="3">
        <v>18.72251135304985</v>
      </c>
    </row>
    <row r="31" spans="28:28" x14ac:dyDescent="0.3">
      <c r="AB31" s="3">
        <v>20.252466436320876</v>
      </c>
    </row>
    <row r="32" spans="28:28" x14ac:dyDescent="0.3">
      <c r="AB32" s="3">
        <v>20.333422657438273</v>
      </c>
    </row>
    <row r="33" spans="28:28" x14ac:dyDescent="0.3">
      <c r="AB33" s="3">
        <v>20.32237997303287</v>
      </c>
    </row>
    <row r="34" spans="28:28" x14ac:dyDescent="0.3">
      <c r="AB34" s="3">
        <v>21.534338342088464</v>
      </c>
    </row>
    <row r="35" spans="28:28" x14ac:dyDescent="0.3">
      <c r="AB35" s="3">
        <v>21.569297725789387</v>
      </c>
    </row>
    <row r="36" spans="28:28" x14ac:dyDescent="0.3">
      <c r="AB36" s="3">
        <v>23.009573176517669</v>
      </c>
    </row>
    <row r="37" spans="28:28" x14ac:dyDescent="0.3">
      <c r="AB37" s="3">
        <v>23.088229948006525</v>
      </c>
    </row>
    <row r="38" spans="28:28" x14ac:dyDescent="0.3">
      <c r="AB38" s="3">
        <v>24.466155152989206</v>
      </c>
    </row>
    <row r="39" spans="28:28" x14ac:dyDescent="0.3">
      <c r="AB39" s="3">
        <v>24.069082179527577</v>
      </c>
    </row>
    <row r="40" spans="28:28" x14ac:dyDescent="0.3">
      <c r="AB40" s="3">
        <v>23.909010922787878</v>
      </c>
    </row>
    <row r="41" spans="28:28" x14ac:dyDescent="0.3">
      <c r="AB41" s="3">
        <v>23.794941324096975</v>
      </c>
    </row>
    <row r="42" spans="28:28" x14ac:dyDescent="0.3">
      <c r="AB42" s="3">
        <v>23.904873327429193</v>
      </c>
    </row>
    <row r="43" spans="28:28" x14ac:dyDescent="0.3">
      <c r="AB43" s="3">
        <v>23.768806880873687</v>
      </c>
    </row>
    <row r="44" spans="28:28" x14ac:dyDescent="0.3">
      <c r="AB44" s="3">
        <v>23.898741933979849</v>
      </c>
    </row>
    <row r="45" spans="28:28" x14ac:dyDescent="0.3">
      <c r="AB45" s="3">
        <v>23.813678438712305</v>
      </c>
    </row>
    <row r="46" spans="28:28" x14ac:dyDescent="0.3">
      <c r="AB46" s="3">
        <v>24.009616349274502</v>
      </c>
    </row>
    <row r="47" spans="28:28" x14ac:dyDescent="0.3">
      <c r="AB47" s="3">
        <v>24.675191607421436</v>
      </c>
    </row>
    <row r="48" spans="28:28" x14ac:dyDescent="0.3">
      <c r="AB48" s="3">
        <v>24.430944767863423</v>
      </c>
    </row>
    <row r="49" spans="28:28" x14ac:dyDescent="0.3">
      <c r="AB49" s="3">
        <v>24.229850092857486</v>
      </c>
    </row>
    <row r="50" spans="28:28" x14ac:dyDescent="0.3">
      <c r="AB50" s="3">
        <v>24.229757437836991</v>
      </c>
    </row>
    <row r="51" spans="28:28" x14ac:dyDescent="0.3">
      <c r="AB51" s="3">
        <v>24.319666745476731</v>
      </c>
    </row>
    <row r="52" spans="28:28" x14ac:dyDescent="0.3">
      <c r="AB52" s="3">
        <v>24.453577961002875</v>
      </c>
    </row>
    <row r="53" spans="28:28" x14ac:dyDescent="0.3">
      <c r="AB53" s="3">
        <v>24.33849103238628</v>
      </c>
    </row>
    <row r="54" spans="28:28" x14ac:dyDescent="0.3">
      <c r="AB54" s="3">
        <v>24.338405909646106</v>
      </c>
    </row>
    <row r="55" spans="28:28" x14ac:dyDescent="0.3">
      <c r="AB55" s="3">
        <v>24.348322544907418</v>
      </c>
    </row>
    <row r="56" spans="28:28" x14ac:dyDescent="0.3">
      <c r="AB56" s="3">
        <v>24.607244087739353</v>
      </c>
    </row>
    <row r="57" spans="28:28" x14ac:dyDescent="0.3">
      <c r="AB57" s="3">
        <v>24.734167137127653</v>
      </c>
    </row>
    <row r="58" spans="28:28" x14ac:dyDescent="0.3">
      <c r="AB58" s="3">
        <v>24.734091700591947</v>
      </c>
    </row>
    <row r="59" spans="28:28" x14ac:dyDescent="0.3">
      <c r="AB59" s="3">
        <v>24.750017747068586</v>
      </c>
    </row>
    <row r="60" spans="28:28" x14ac:dyDescent="0.3">
      <c r="AB60" s="3">
        <v>24.777945243135363</v>
      </c>
    </row>
    <row r="61" spans="28:28" x14ac:dyDescent="0.3">
      <c r="AB61" s="3">
        <v>24.793874156506021</v>
      </c>
    </row>
    <row r="62" spans="28:28" x14ac:dyDescent="0.3">
      <c r="AB62" s="3">
        <v>24.663804456114164</v>
      </c>
    </row>
    <row r="63" spans="28:28" x14ac:dyDescent="0.3">
      <c r="AB63" s="3">
        <v>24.626736111693209</v>
      </c>
    </row>
    <row r="64" spans="28:28" x14ac:dyDescent="0.3">
      <c r="AB64" s="3">
        <v>24.61066909354739</v>
      </c>
    </row>
    <row r="65" spans="28:28" x14ac:dyDescent="0.3">
      <c r="AB65" s="3">
        <v>24.422603373612205</v>
      </c>
    </row>
    <row r="66" spans="28:28" x14ac:dyDescent="0.3">
      <c r="AB66" s="3">
        <v>24.162538924298257</v>
      </c>
    </row>
    <row r="67" spans="28:28" x14ac:dyDescent="0.3">
      <c r="AB67" s="3">
        <v>24.4064757254691</v>
      </c>
    </row>
    <row r="68" spans="28:28" x14ac:dyDescent="0.3">
      <c r="AB68" s="3">
        <v>24.530413751097448</v>
      </c>
    </row>
    <row r="69" spans="28:28" x14ac:dyDescent="0.3">
      <c r="AB69" s="3">
        <v>24.404352975983187</v>
      </c>
    </row>
    <row r="70" spans="28:28" x14ac:dyDescent="0.3">
      <c r="AB70" s="3">
        <v>24.364293375633213</v>
      </c>
    </row>
    <row r="71" spans="28:28" x14ac:dyDescent="0.3">
      <c r="AB71" s="3">
        <v>24.364234926231667</v>
      </c>
    </row>
    <row r="72" spans="28:28" x14ac:dyDescent="0.3">
      <c r="AB72" s="3">
        <v>24.530177604610891</v>
      </c>
    </row>
    <row r="73" spans="28:28" x14ac:dyDescent="0.3">
      <c r="AB73" s="3">
        <v>24.403121388224086</v>
      </c>
    </row>
    <row r="74" spans="28:28" x14ac:dyDescent="0.3">
      <c r="AB74" s="3">
        <v>24.128066255119634</v>
      </c>
    </row>
    <row r="75" spans="28:28" x14ac:dyDescent="0.3">
      <c r="AB75" s="3">
        <v>24.163012183916873</v>
      </c>
    </row>
    <row r="76" spans="28:28" x14ac:dyDescent="0.3">
      <c r="AB76" s="3">
        <v>24.162959153783294</v>
      </c>
    </row>
    <row r="77" spans="28:28" x14ac:dyDescent="0.3">
      <c r="AB77" s="3">
        <v>24.178907144413039</v>
      </c>
    </row>
    <row r="78" spans="28:28" x14ac:dyDescent="0.3">
      <c r="AB78" s="3">
        <v>24.17885613600663</v>
      </c>
    </row>
    <row r="79" spans="28:28" x14ac:dyDescent="0.3">
      <c r="AB79" s="3">
        <v>24.235806109251783</v>
      </c>
    </row>
    <row r="80" spans="28:28" x14ac:dyDescent="0.3">
      <c r="AB80" s="3">
        <v>24.269757045305365</v>
      </c>
    </row>
    <row r="81" spans="28:28" x14ac:dyDescent="0.3">
      <c r="AB81" s="3">
        <v>24.421708925776279</v>
      </c>
    </row>
    <row r="82" spans="28:28" x14ac:dyDescent="0.3">
      <c r="AB82" s="3">
        <v>24.426661732709274</v>
      </c>
    </row>
    <row r="83" spans="28:28" x14ac:dyDescent="0.3">
      <c r="AB83" s="3">
        <v>24.527615448569669</v>
      </c>
    </row>
    <row r="84" spans="28:28" x14ac:dyDescent="0.3">
      <c r="AB84" s="3">
        <v>24.577570056228833</v>
      </c>
    </row>
    <row r="85" spans="28:28" x14ac:dyDescent="0.3">
      <c r="AB85" s="3">
        <v>24.271525538950449</v>
      </c>
    </row>
    <row r="86" spans="28:28" x14ac:dyDescent="0.3">
      <c r="AB86" s="3">
        <v>24.378481880377478</v>
      </c>
    </row>
    <row r="87" spans="28:28" x14ac:dyDescent="0.3">
      <c r="AB87" s="3">
        <v>24.361439064519782</v>
      </c>
    </row>
    <row r="88" spans="28:28" x14ac:dyDescent="0.3">
      <c r="AB88" s="3">
        <v>24.515397075742353</v>
      </c>
    </row>
    <row r="89" spans="28:28" x14ac:dyDescent="0.3">
      <c r="AB89" s="3">
        <v>24.532355898754147</v>
      </c>
    </row>
    <row r="90" spans="28:28" x14ac:dyDescent="0.3">
      <c r="AB90" s="3">
        <v>24.410315518597447</v>
      </c>
    </row>
    <row r="91" spans="28:28" x14ac:dyDescent="0.3">
      <c r="AB91" s="3">
        <v>23.113275920637737</v>
      </c>
    </row>
    <row r="92" spans="28:28" x14ac:dyDescent="0.3">
      <c r="AB92" s="3">
        <v>23.113237090554037</v>
      </c>
    </row>
    <row r="93" spans="28:28" x14ac:dyDescent="0.3">
      <c r="AB93" s="3">
        <v>23.011199014329708</v>
      </c>
    </row>
    <row r="94" spans="28:28" x14ac:dyDescent="0.3">
      <c r="AB94" s="3">
        <v>23.027161678243669</v>
      </c>
    </row>
    <row r="95" spans="28:28" x14ac:dyDescent="0.3">
      <c r="AB95" s="3">
        <v>23.041125068861998</v>
      </c>
    </row>
    <row r="96" spans="28:28" x14ac:dyDescent="0.3">
      <c r="AB96" s="3">
        <v>23.04108597738152</v>
      </c>
    </row>
    <row r="97" spans="28:28" x14ac:dyDescent="0.3">
      <c r="AB97" s="3">
        <v>23.023047747904055</v>
      </c>
    </row>
    <row r="98" spans="28:28" x14ac:dyDescent="0.3">
      <c r="AB98" s="3">
        <v>23.023010317648151</v>
      </c>
    </row>
    <row r="99" spans="28:28" x14ac:dyDescent="0.3">
      <c r="AB99" s="3">
        <v>21.631973668572275</v>
      </c>
    </row>
    <row r="100" spans="28:28" x14ac:dyDescent="0.3">
      <c r="AB100" s="3">
        <v>21.628937782730926</v>
      </c>
    </row>
    <row r="101" spans="28:28" x14ac:dyDescent="0.3">
      <c r="AB101" s="3">
        <v>21.629902642815505</v>
      </c>
    </row>
    <row r="102" spans="28:28" x14ac:dyDescent="0.3">
      <c r="AB102" s="3">
        <v>21.503868232113643</v>
      </c>
    </row>
    <row r="103" spans="28:28" x14ac:dyDescent="0.3">
      <c r="AB103" s="3">
        <v>20.347834534478199</v>
      </c>
    </row>
    <row r="104" spans="28:28" x14ac:dyDescent="0.3">
      <c r="AB104" s="3">
        <v>20.098801534298218</v>
      </c>
    </row>
    <row r="105" spans="28:28" x14ac:dyDescent="0.3">
      <c r="AB105" s="3">
        <v>18.859769216471708</v>
      </c>
    </row>
    <row r="106" spans="28:28" x14ac:dyDescent="0.3">
      <c r="AB106" s="3">
        <v>18.82573756638023</v>
      </c>
    </row>
    <row r="107" spans="28:28" x14ac:dyDescent="0.3">
      <c r="AB107" s="3">
        <v>18.833706569865054</v>
      </c>
    </row>
    <row r="108" spans="28:28" x14ac:dyDescent="0.3">
      <c r="AB108" s="3">
        <v>18.833676213204832</v>
      </c>
    </row>
    <row r="109" spans="28:28" x14ac:dyDescent="0.3">
      <c r="AB109" s="3">
        <v>19.065646483094699</v>
      </c>
    </row>
    <row r="110" spans="28:28" x14ac:dyDescent="0.3">
      <c r="AB110" s="3">
        <v>19.065617366626682</v>
      </c>
    </row>
    <row r="111" spans="28:28" x14ac:dyDescent="0.3">
      <c r="AB111" s="3">
        <v>19.198588851271285</v>
      </c>
    </row>
    <row r="112" spans="28:28" x14ac:dyDescent="0.3">
      <c r="AB112" s="3">
        <v>19.339560924860248</v>
      </c>
    </row>
    <row r="113" spans="28:28" x14ac:dyDescent="0.3">
      <c r="AB113" s="3">
        <v>19.317533575570355</v>
      </c>
    </row>
    <row r="114" spans="28:28" x14ac:dyDescent="0.3">
      <c r="AB114" s="3">
        <v>19.571509985712932</v>
      </c>
    </row>
    <row r="115" spans="28:28" x14ac:dyDescent="0.3">
      <c r="AB115" s="3">
        <v>18.193486786579495</v>
      </c>
    </row>
    <row r="116" spans="28:28" x14ac:dyDescent="0.3">
      <c r="AB116" s="3">
        <v>18.291464017257582</v>
      </c>
    </row>
    <row r="117" spans="28:28" x14ac:dyDescent="0.3">
      <c r="AB117" s="3">
        <v>18.555441667841048</v>
      </c>
    </row>
    <row r="118" spans="28:28" x14ac:dyDescent="0.3">
      <c r="AB118" s="3">
        <v>18.419419732007466</v>
      </c>
    </row>
    <row r="119" spans="28:28" x14ac:dyDescent="0.3">
      <c r="AB119" s="3">
        <v>18.29939819993016</v>
      </c>
    </row>
    <row r="120" spans="28:28" x14ac:dyDescent="0.3">
      <c r="AB120" s="3">
        <v>18.299377066837923</v>
      </c>
    </row>
    <row r="121" spans="28:28" x14ac:dyDescent="0.3">
      <c r="AB121" s="3">
        <v>18.299356327801728</v>
      </c>
    </row>
    <row r="122" spans="28:28" x14ac:dyDescent="0.3">
      <c r="AB122" s="3">
        <v>18.441335977632349</v>
      </c>
    </row>
    <row r="123" spans="28:28" x14ac:dyDescent="0.3">
      <c r="AB123" s="3">
        <v>18.569316010709102</v>
      </c>
    </row>
    <row r="124" spans="28:28" x14ac:dyDescent="0.3">
      <c r="AB124" s="3">
        <v>18.432296422097302</v>
      </c>
    </row>
    <row r="125" spans="28:28" x14ac:dyDescent="0.3">
      <c r="AB125" s="3">
        <v>18.581277207182719</v>
      </c>
    </row>
    <row r="126" spans="28:28" x14ac:dyDescent="0.3">
      <c r="AB126" s="3">
        <v>18.834258360768175</v>
      </c>
    </row>
    <row r="127" spans="28:28" x14ac:dyDescent="0.3">
      <c r="AB127" s="3">
        <v>18.691239877458692</v>
      </c>
    </row>
    <row r="128" spans="28:28" x14ac:dyDescent="0.3">
      <c r="AB128" s="3">
        <v>18.864221752032357</v>
      </c>
    </row>
    <row r="129" spans="28:28" x14ac:dyDescent="0.3">
      <c r="AB129" s="3">
        <v>18.764203979260632</v>
      </c>
    </row>
    <row r="130" spans="28:28" x14ac:dyDescent="0.3">
      <c r="AB130" s="3">
        <v>19.873186553917883</v>
      </c>
    </row>
    <row r="131" spans="28:28" x14ac:dyDescent="0.3">
      <c r="AB131" s="3">
        <v>19.712169470787885</v>
      </c>
    </row>
    <row r="132" spans="28:28" x14ac:dyDescent="0.3">
      <c r="AB132" s="3">
        <v>19.558152724854082</v>
      </c>
    </row>
    <row r="133" spans="28:28" x14ac:dyDescent="0.3">
      <c r="AB133" s="3">
        <v>19.558136310197991</v>
      </c>
    </row>
    <row r="134" spans="28:28" x14ac:dyDescent="0.3">
      <c r="AB134" s="3">
        <v>20.841120221485276</v>
      </c>
    </row>
    <row r="135" spans="28:28" x14ac:dyDescent="0.3">
      <c r="AB135" s="3">
        <v>20.543104453218163</v>
      </c>
    </row>
    <row r="136" spans="28:28" x14ac:dyDescent="0.3">
      <c r="AB136" s="3">
        <v>20.571089000484978</v>
      </c>
    </row>
    <row r="137" spans="28:28" x14ac:dyDescent="0.3">
      <c r="AB137" s="3">
        <v>20.560073858037054</v>
      </c>
    </row>
    <row r="138" spans="28:28" x14ac:dyDescent="0.3">
      <c r="AB138" s="3">
        <v>23.06005902103821</v>
      </c>
    </row>
    <row r="139" spans="28:28" x14ac:dyDescent="0.3">
      <c r="AB139" s="3">
        <v>23.181044484508135</v>
      </c>
    </row>
    <row r="140" spans="28:28" x14ac:dyDescent="0.3">
      <c r="AB140" s="3">
        <v>23.035030242961927</v>
      </c>
    </row>
    <row r="141" spans="28:28" x14ac:dyDescent="0.3">
      <c r="AB141" s="3">
        <v>22.93201629188713</v>
      </c>
    </row>
    <row r="142" spans="28:28" x14ac:dyDescent="0.3">
      <c r="AB142" s="3">
        <v>22.932002626444159</v>
      </c>
    </row>
    <row r="143" spans="28:28" x14ac:dyDescent="0.3">
      <c r="AB143" s="3">
        <v>22.651989241666104</v>
      </c>
    </row>
    <row r="144" spans="28:28" x14ac:dyDescent="0.3">
      <c r="AB144" s="3">
        <v>22.699976133009276</v>
      </c>
    </row>
    <row r="145" spans="28:28" x14ac:dyDescent="0.3">
      <c r="AB145" s="3">
        <v>22.553963295797548</v>
      </c>
    </row>
    <row r="146" spans="28:28" x14ac:dyDescent="0.3">
      <c r="AB146" s="3">
        <v>22.461950725413537</v>
      </c>
    </row>
    <row r="147" spans="28:28" x14ac:dyDescent="0.3">
      <c r="AB147" s="3">
        <v>22.724938417297167</v>
      </c>
    </row>
    <row r="148" spans="28:28" x14ac:dyDescent="0.3">
      <c r="AB148" s="3">
        <v>23.974926366762126</v>
      </c>
    </row>
    <row r="149" spans="28:28" x14ac:dyDescent="0.3">
      <c r="AB149" s="3">
        <v>23.974914569366099</v>
      </c>
    </row>
    <row r="150" spans="28:28" x14ac:dyDescent="0.3">
      <c r="AB150" s="3">
        <v>24.23990302072372</v>
      </c>
    </row>
    <row r="151" spans="28:28" x14ac:dyDescent="0.3">
      <c r="AB151" s="3">
        <v>24.239891716509412</v>
      </c>
    </row>
    <row r="152" spans="28:28" x14ac:dyDescent="0.3">
      <c r="AB152" s="3">
        <v>24.239880652457725</v>
      </c>
    </row>
    <row r="153" spans="28:28" x14ac:dyDescent="0.3">
      <c r="AB153" s="3">
        <v>24.116869824547862</v>
      </c>
    </row>
    <row r="154" spans="28:28" x14ac:dyDescent="0.3">
      <c r="AB154" s="3">
        <v>24.116859228634326</v>
      </c>
    </row>
    <row r="155" spans="28:28" x14ac:dyDescent="0.3">
      <c r="AB155" s="3">
        <v>24.100848860450139</v>
      </c>
    </row>
    <row r="156" spans="28:28" x14ac:dyDescent="0.3">
      <c r="AB156" s="3">
        <v>24.354838716342616</v>
      </c>
    </row>
    <row r="157" spans="28:28" x14ac:dyDescent="0.3">
      <c r="AB157" s="3">
        <v>24.362828792346654</v>
      </c>
    </row>
    <row r="158" spans="28:28" x14ac:dyDescent="0.3">
      <c r="AB158" s="3">
        <v>23.11281908474653</v>
      </c>
    </row>
    <row r="159" spans="28:28" x14ac:dyDescent="0.3">
      <c r="AB159" s="3">
        <v>22.987809589516836</v>
      </c>
    </row>
    <row r="160" spans="28:28" x14ac:dyDescent="0.3">
      <c r="AB160" s="3">
        <v>23.223800302879347</v>
      </c>
    </row>
    <row r="161" spans="28:28" x14ac:dyDescent="0.3">
      <c r="AB161" s="3">
        <v>23.223791221112585</v>
      </c>
    </row>
    <row r="162" spans="28:28" x14ac:dyDescent="0.3">
      <c r="AB162" s="3">
        <v>22.945782341475752</v>
      </c>
    </row>
    <row r="163" spans="28:28" x14ac:dyDescent="0.3">
      <c r="AB163" s="3">
        <v>22.98677366036075</v>
      </c>
    </row>
    <row r="164" spans="28:28" x14ac:dyDescent="0.3">
      <c r="AB164" s="3">
        <v>23.000765174229549</v>
      </c>
    </row>
    <row r="165" spans="28:28" x14ac:dyDescent="0.3">
      <c r="AB165" s="3">
        <v>22.869756879601521</v>
      </c>
    </row>
    <row r="166" spans="28:28" x14ac:dyDescent="0.3">
      <c r="AB166" s="3">
        <v>22.98774877249992</v>
      </c>
    </row>
    <row r="167" spans="28:28" x14ac:dyDescent="0.3">
      <c r="AB167" s="3">
        <v>22.987740849375374</v>
      </c>
    </row>
    <row r="168" spans="28:28" x14ac:dyDescent="0.3">
      <c r="AB168" s="3">
        <v>22.853733106912074</v>
      </c>
    </row>
    <row r="169" spans="28:28" x14ac:dyDescent="0.3">
      <c r="AB169" s="3">
        <v>24.773725542215537</v>
      </c>
    </row>
    <row r="170" spans="28:28" x14ac:dyDescent="0.3">
      <c r="AB170" s="3">
        <v>24.800718152075365</v>
      </c>
    </row>
    <row r="171" spans="28:28" x14ac:dyDescent="0.3">
      <c r="AB171" s="3">
        <v>24.906710933524064</v>
      </c>
    </row>
    <row r="172" spans="28:28" x14ac:dyDescent="0.3">
      <c r="AB172" s="3">
        <v>24.906703883277668</v>
      </c>
    </row>
    <row r="173" spans="28:28" x14ac:dyDescent="0.3">
      <c r="AB173" s="3">
        <v>25.037696998292187</v>
      </c>
    </row>
    <row r="174" spans="28:28" x14ac:dyDescent="0.3">
      <c r="AB174" s="3">
        <v>24.897690275941667</v>
      </c>
    </row>
    <row r="175" spans="28:28" x14ac:dyDescent="0.3">
      <c r="AB175" s="3">
        <v>24.610683713280945</v>
      </c>
    </row>
    <row r="176" spans="28:28" x14ac:dyDescent="0.3">
      <c r="AB176" s="3">
        <v>24.610677307604441</v>
      </c>
    </row>
    <row r="177" spans="28:28" x14ac:dyDescent="0.3">
      <c r="AB177" s="3">
        <v>24.764671055149257</v>
      </c>
    </row>
    <row r="178" spans="28:28" x14ac:dyDescent="0.3">
      <c r="AB178" s="3">
        <v>23.38466495405142</v>
      </c>
    </row>
    <row r="179" spans="28:28" x14ac:dyDescent="0.3">
      <c r="AB179" s="3">
        <v>22.134659001741753</v>
      </c>
    </row>
    <row r="180" spans="28:28" x14ac:dyDescent="0.3">
      <c r="AB180" s="3">
        <v>22.13465319534135</v>
      </c>
    </row>
    <row r="181" spans="28:28" x14ac:dyDescent="0.3">
      <c r="AB181" s="3">
        <v>21.993647532021271</v>
      </c>
    </row>
    <row r="182" spans="28:28" x14ac:dyDescent="0.3">
      <c r="AB182" s="3">
        <v>22.155642009181467</v>
      </c>
    </row>
    <row r="183" spans="28:28" x14ac:dyDescent="0.3">
      <c r="AB183" s="3">
        <v>22.023636624264959</v>
      </c>
    </row>
    <row r="184" spans="28:28" x14ac:dyDescent="0.3">
      <c r="AB184" s="3">
        <v>22.083631374759516</v>
      </c>
    </row>
    <row r="185" spans="28:28" x14ac:dyDescent="0.3">
      <c r="AB185" s="3">
        <v>22.237626258196929</v>
      </c>
    </row>
    <row r="186" spans="28:28" x14ac:dyDescent="0.3">
      <c r="AB186" s="3">
        <v>22.244621282476938</v>
      </c>
    </row>
    <row r="187" spans="28:28" x14ac:dyDescent="0.3">
      <c r="AB187" s="3">
        <v>22.244616445912236</v>
      </c>
    </row>
    <row r="188" spans="28:28" x14ac:dyDescent="0.3">
      <c r="AB188" s="3">
        <v>20.994611746253934</v>
      </c>
    </row>
    <row r="189" spans="28:28" x14ac:dyDescent="0.3">
      <c r="AB189" s="3">
        <v>21.247607181673771</v>
      </c>
    </row>
    <row r="190" spans="28:28" x14ac:dyDescent="0.3">
      <c r="AB190" s="3">
        <v>21.355602743194488</v>
      </c>
    </row>
    <row r="191" spans="28:28" x14ac:dyDescent="0.3">
      <c r="AB191" s="3">
        <v>21.224598428919759</v>
      </c>
    </row>
    <row r="192" spans="28:28" x14ac:dyDescent="0.3">
      <c r="AB192" s="3">
        <v>19.854594238009181</v>
      </c>
    </row>
    <row r="193" spans="28:28" x14ac:dyDescent="0.3">
      <c r="AB193" s="3">
        <v>20.093590168368436</v>
      </c>
    </row>
    <row r="194" spans="28:28" x14ac:dyDescent="0.3">
      <c r="AB194" s="3">
        <v>20.193586217958003</v>
      </c>
    </row>
    <row r="195" spans="28:28" x14ac:dyDescent="0.3">
      <c r="AB195" s="3">
        <v>20.039582386434827</v>
      </c>
    </row>
    <row r="196" spans="28:28" x14ac:dyDescent="0.3">
      <c r="AB196" s="3">
        <v>18.789578670167018</v>
      </c>
    </row>
    <row r="197" spans="28:28" x14ac:dyDescent="0.3">
      <c r="AB197" s="3">
        <v>18.789575067062433</v>
      </c>
    </row>
    <row r="198" spans="28:28" x14ac:dyDescent="0.3">
      <c r="AB198" s="3">
        <v>18.789571575043045</v>
      </c>
    </row>
    <row r="199" spans="28:28" x14ac:dyDescent="0.3">
      <c r="AB199" s="3">
        <v>19.010568191510835</v>
      </c>
    </row>
    <row r="200" spans="28:28" x14ac:dyDescent="0.3">
      <c r="AB200" s="3">
        <v>18.718564913349098</v>
      </c>
    </row>
    <row r="201" spans="28:28" x14ac:dyDescent="0.3">
      <c r="AB201" s="3">
        <v>18.987561746503889</v>
      </c>
    </row>
    <row r="202" spans="28:28" x14ac:dyDescent="0.3">
      <c r="AB202" s="3">
        <v>18.709555493512823</v>
      </c>
    </row>
    <row r="203" spans="28:28" x14ac:dyDescent="0.3">
      <c r="AB203" s="3">
        <v>18.555549510050163</v>
      </c>
    </row>
    <row r="204" spans="28:28" x14ac:dyDescent="0.3">
      <c r="AB204" s="3">
        <v>18.54054374448846</v>
      </c>
    </row>
    <row r="205" spans="28:28" x14ac:dyDescent="0.3">
      <c r="AB205" s="3">
        <v>18.66953818971928</v>
      </c>
    </row>
    <row r="206" spans="28:28" x14ac:dyDescent="0.3">
      <c r="AB206" s="3">
        <v>17.544532838328536</v>
      </c>
    </row>
    <row r="207" spans="28:28" x14ac:dyDescent="0.3">
      <c r="AB207" s="3">
        <v>17.291527683697034</v>
      </c>
    </row>
    <row r="208" spans="28:28" x14ac:dyDescent="0.3">
      <c r="AB208" s="3">
        <v>18.683522719039502</v>
      </c>
    </row>
    <row r="209" spans="28:28" x14ac:dyDescent="0.3">
      <c r="AB209" s="3">
        <v>19.933517937017349</v>
      </c>
    </row>
    <row r="210" spans="28:28" x14ac:dyDescent="0.3">
      <c r="AB210" s="3">
        <v>19.933513331923578</v>
      </c>
    </row>
    <row r="211" spans="28:28" x14ac:dyDescent="0.3">
      <c r="AB211" s="3">
        <v>19.794508899642956</v>
      </c>
    </row>
    <row r="212" spans="28:28" x14ac:dyDescent="0.3">
      <c r="AB212" s="3">
        <v>19.794504635430503</v>
      </c>
    </row>
    <row r="213" spans="28:28" x14ac:dyDescent="0.3">
      <c r="AB213" s="3">
        <v>19.794500530041251</v>
      </c>
    </row>
    <row r="214" spans="28:28" x14ac:dyDescent="0.3">
      <c r="AB214" s="3">
        <v>19.894496578938391</v>
      </c>
    </row>
    <row r="215" spans="28:28" x14ac:dyDescent="0.3">
      <c r="AB215" s="3">
        <v>20.033492777954525</v>
      </c>
    </row>
    <row r="216" spans="28:28" x14ac:dyDescent="0.3">
      <c r="AB216" s="3">
        <v>20.033489125730565</v>
      </c>
    </row>
    <row r="217" spans="28:28" x14ac:dyDescent="0.3">
      <c r="AB217" s="3">
        <v>19.812485618161425</v>
      </c>
    </row>
    <row r="218" spans="28:28" x14ac:dyDescent="0.3">
      <c r="AB218" s="3">
        <v>21.06248225137902</v>
      </c>
    </row>
    <row r="219" spans="28:28" x14ac:dyDescent="0.3">
      <c r="AB219" s="3">
        <v>20.793479021885346</v>
      </c>
    </row>
    <row r="220" spans="28:28" x14ac:dyDescent="0.3">
      <c r="AB220" s="3">
        <v>20.793479123663829</v>
      </c>
    </row>
    <row r="221" spans="28:28" x14ac:dyDescent="0.3">
      <c r="AB221" s="3">
        <v>20.793479196379156</v>
      </c>
    </row>
    <row r="222" spans="28:28" x14ac:dyDescent="0.3">
      <c r="AB222" s="3">
        <v>21.922479287021314</v>
      </c>
    </row>
    <row r="223" spans="28:28" x14ac:dyDescent="0.3">
      <c r="AB223" s="3">
        <v>21.934479398241638</v>
      </c>
    </row>
    <row r="224" spans="28:28" x14ac:dyDescent="0.3">
      <c r="AB224" s="3">
        <v>21.942479532981416</v>
      </c>
    </row>
    <row r="225" spans="28:28" x14ac:dyDescent="0.3">
      <c r="AB225" s="3">
        <v>22.070479693916216</v>
      </c>
    </row>
    <row r="226" spans="28:28" x14ac:dyDescent="0.3">
      <c r="AB226" s="3">
        <v>21.820479883482694</v>
      </c>
    </row>
    <row r="227" spans="28:28" x14ac:dyDescent="0.3">
      <c r="AB227" s="3">
        <v>21.982480103896396</v>
      </c>
    </row>
    <row r="228" spans="28:28" x14ac:dyDescent="0.3">
      <c r="AB228" s="3">
        <v>23.360480357168402</v>
      </c>
    </row>
    <row r="229" spans="28:28" x14ac:dyDescent="0.3">
      <c r="AB229" s="3">
        <v>22.688994128254336</v>
      </c>
    </row>
    <row r="230" spans="28:28" x14ac:dyDescent="0.3">
      <c r="AB230" s="3">
        <v>21.545898783642322</v>
      </c>
    </row>
    <row r="231" spans="28:28" x14ac:dyDescent="0.3">
      <c r="AB231" s="3">
        <v>21.545901088095995</v>
      </c>
    </row>
    <row r="232" spans="28:28" x14ac:dyDescent="0.3">
      <c r="AB232" s="3">
        <v>21.54590341715917</v>
      </c>
    </row>
    <row r="233" spans="28:28" x14ac:dyDescent="0.3">
      <c r="AB233" s="3">
        <v>22.656905773492298</v>
      </c>
    </row>
    <row r="234" spans="28:28" x14ac:dyDescent="0.3">
      <c r="AB234" s="3">
        <v>22.656908159579604</v>
      </c>
    </row>
    <row r="235" spans="28:28" x14ac:dyDescent="0.3">
      <c r="AB235" s="3">
        <v>22.790910577687008</v>
      </c>
    </row>
    <row r="236" spans="28:28" x14ac:dyDescent="0.3">
      <c r="AB236" s="3">
        <v>22.790913029879075</v>
      </c>
    </row>
    <row r="237" spans="28:28" x14ac:dyDescent="0.3">
      <c r="AB237" s="3">
        <v>22.937915518034089</v>
      </c>
    </row>
    <row r="238" spans="28:28" x14ac:dyDescent="0.3">
      <c r="AB238" s="3">
        <v>22.975918043858066</v>
      </c>
    </row>
    <row r="239" spans="28:28" x14ac:dyDescent="0.3">
      <c r="AB239" s="3">
        <v>22.959920608897672</v>
      </c>
    </row>
    <row r="240" spans="28:28" x14ac:dyDescent="0.3">
      <c r="AB240" s="3">
        <v>22.993923214552279</v>
      </c>
    </row>
    <row r="241" spans="28:28" x14ac:dyDescent="0.3">
      <c r="AB241" s="3">
        <v>23.110925862085136</v>
      </c>
    </row>
    <row r="242" spans="28:28" x14ac:dyDescent="0.3">
      <c r="AB242" s="3">
        <v>24.381928552633681</v>
      </c>
    </row>
    <row r="243" spans="28:28" x14ac:dyDescent="0.3">
      <c r="AB243" s="3">
        <v>24.383931287219166</v>
      </c>
    </row>
    <row r="244" spans="28:28" x14ac:dyDescent="0.3">
      <c r="AB244" s="3">
        <v>24.512934066755559</v>
      </c>
    </row>
    <row r="245" spans="28:28" x14ac:dyDescent="0.3">
      <c r="AB245" s="3">
        <v>24.271936892057784</v>
      </c>
    </row>
    <row r="246" spans="28:28" x14ac:dyDescent="0.3">
      <c r="AB246" s="3">
        <v>24.143939763849364</v>
      </c>
    </row>
    <row r="247" spans="28:28" x14ac:dyDescent="0.3">
      <c r="AB247" s="3">
        <v>24.114942682769549</v>
      </c>
    </row>
    <row r="248" spans="28:28" x14ac:dyDescent="0.3">
      <c r="AB248" s="3">
        <v>23.968945649379872</v>
      </c>
    </row>
    <row r="249" spans="28:28" x14ac:dyDescent="0.3">
      <c r="AB249" s="3">
        <v>22.718948664170242</v>
      </c>
    </row>
    <row r="250" spans="28:28" x14ac:dyDescent="0.3">
      <c r="AB250" s="3">
        <v>22.718951727564619</v>
      </c>
    </row>
    <row r="251" spans="28:28" x14ac:dyDescent="0.3">
      <c r="AB251" s="3">
        <v>22.718954839926226</v>
      </c>
    </row>
    <row r="252" spans="28:28" x14ac:dyDescent="0.3">
      <c r="AB252" s="3">
        <v>22.718958001562427</v>
      </c>
    </row>
    <row r="253" spans="28:28" x14ac:dyDescent="0.3">
      <c r="AB253" s="3">
        <v>22.584961212729208</v>
      </c>
    </row>
    <row r="254" spans="28:28" x14ac:dyDescent="0.3">
      <c r="AB254" s="3">
        <v>22.720964473635348</v>
      </c>
    </row>
    <row r="255" spans="28:28" x14ac:dyDescent="0.3">
      <c r="AB255" s="3">
        <v>22.596967784446282</v>
      </c>
    </row>
    <row r="256" spans="28:28" x14ac:dyDescent="0.3">
      <c r="AB256" s="3">
        <v>22.596971145287693</v>
      </c>
    </row>
    <row r="257" spans="28:28" x14ac:dyDescent="0.3">
      <c r="AB257" s="3">
        <v>22.596974556248789</v>
      </c>
    </row>
    <row r="258" spans="28:28" x14ac:dyDescent="0.3">
      <c r="AB258" s="3">
        <v>22.596978017385393</v>
      </c>
    </row>
    <row r="259" spans="28:28" x14ac:dyDescent="0.3">
      <c r="AB259" s="3">
        <v>22.438981528722788</v>
      </c>
    </row>
    <row r="260" spans="28:28" x14ac:dyDescent="0.3">
      <c r="AB260" s="3">
        <v>22.284985090258321</v>
      </c>
    </row>
    <row r="261" spans="28:28" x14ac:dyDescent="0.3">
      <c r="AB261" s="3">
        <v>22.05498870196385</v>
      </c>
    </row>
    <row r="262" spans="28:28" x14ac:dyDescent="0.3">
      <c r="AB262" s="3">
        <v>22.079992363788005</v>
      </c>
    </row>
    <row r="263" spans="28:28" x14ac:dyDescent="0.3">
      <c r="AB263" s="3">
        <v>22.23099607565824</v>
      </c>
    </row>
    <row r="264" spans="28:28" x14ac:dyDescent="0.3">
      <c r="AB264" s="3">
        <v>22.37199983748279</v>
      </c>
    </row>
    <row r="265" spans="28:28" x14ac:dyDescent="0.3">
      <c r="AB265" s="3">
        <v>22.372003649152429</v>
      </c>
    </row>
    <row r="266" spans="28:28" x14ac:dyDescent="0.3">
      <c r="AB266" s="3">
        <v>22.602007510542116</v>
      </c>
    </row>
    <row r="267" spans="28:28" x14ac:dyDescent="0.3">
      <c r="AB267" s="3">
        <v>21.491011421512539</v>
      </c>
    </row>
    <row r="268" spans="28:28" x14ac:dyDescent="0.3">
      <c r="AB268" s="3">
        <v>21.391015381911501</v>
      </c>
    </row>
    <row r="269" spans="28:28" x14ac:dyDescent="0.3">
      <c r="AB269" s="3">
        <v>21.391019391575206</v>
      </c>
    </row>
    <row r="270" spans="28:28" x14ac:dyDescent="0.3">
      <c r="AB270" s="3">
        <v>21.391023450329492</v>
      </c>
    </row>
    <row r="271" spans="28:28" x14ac:dyDescent="0.3">
      <c r="AB271" s="3">
        <v>20.141027557990903</v>
      </c>
    </row>
    <row r="272" spans="28:28" x14ac:dyDescent="0.3">
      <c r="AB272" s="3">
        <v>20.005031713384433</v>
      </c>
    </row>
    <row r="273" spans="28:28" x14ac:dyDescent="0.3">
      <c r="AB273" s="3">
        <v>20.005035917052577</v>
      </c>
    </row>
    <row r="274" spans="28:28" x14ac:dyDescent="0.3">
      <c r="AB274" s="3">
        <v>20.136040168777821</v>
      </c>
    </row>
    <row r="275" spans="28:28" x14ac:dyDescent="0.3">
      <c r="AB275" s="3">
        <v>20.136044460234498</v>
      </c>
    </row>
    <row r="276" spans="28:28" x14ac:dyDescent="0.3">
      <c r="AB276" s="3">
        <v>20.282048790745858</v>
      </c>
    </row>
    <row r="277" spans="28:28" x14ac:dyDescent="0.3">
      <c r="AB277" s="3">
        <v>20.423053159771104</v>
      </c>
    </row>
    <row r="278" spans="28:28" x14ac:dyDescent="0.3">
      <c r="AB278" s="3">
        <v>20.423057565776364</v>
      </c>
    </row>
    <row r="279" spans="28:28" x14ac:dyDescent="0.3">
      <c r="AB279" s="3">
        <v>20.423062014107821</v>
      </c>
    </row>
    <row r="280" spans="28:28" x14ac:dyDescent="0.3">
      <c r="AB280" s="3">
        <v>20.561066505397282</v>
      </c>
    </row>
    <row r="281" spans="28:28" x14ac:dyDescent="0.3">
      <c r="AB281" s="3">
        <v>20.546071038869094</v>
      </c>
    </row>
    <row r="282" spans="28:28" x14ac:dyDescent="0.3">
      <c r="AB282" s="3">
        <v>19.127075614251844</v>
      </c>
    </row>
    <row r="283" spans="28:28" x14ac:dyDescent="0.3">
      <c r="AB283" s="3">
        <v>19.127080232987382</v>
      </c>
    </row>
    <row r="284" spans="28:28" x14ac:dyDescent="0.3">
      <c r="AB284" s="3">
        <v>18.912084894051766</v>
      </c>
    </row>
    <row r="285" spans="28:28" x14ac:dyDescent="0.3">
      <c r="AB285" s="3">
        <v>18.773089597184228</v>
      </c>
    </row>
    <row r="286" spans="28:28" x14ac:dyDescent="0.3">
      <c r="AB286" s="3">
        <v>17.523094342114554</v>
      </c>
    </row>
    <row r="287" spans="28:28" x14ac:dyDescent="0.3">
      <c r="AB287" s="3">
        <v>17.649099127835854</v>
      </c>
    </row>
    <row r="288" spans="28:28" x14ac:dyDescent="0.3">
      <c r="AB288" s="3">
        <v>17.957103954082704</v>
      </c>
    </row>
    <row r="289" spans="28:28" x14ac:dyDescent="0.3">
      <c r="AB289" s="3">
        <v>17.95710882058108</v>
      </c>
    </row>
    <row r="290" spans="28:28" x14ac:dyDescent="0.3">
      <c r="AB290" s="3">
        <v>16.840113726812447</v>
      </c>
    </row>
    <row r="291" spans="28:28" x14ac:dyDescent="0.3">
      <c r="AB291" s="3">
        <v>15.690118673489861</v>
      </c>
    </row>
    <row r="292" spans="28:28" x14ac:dyDescent="0.3">
      <c r="AB292" s="3">
        <v>17.217123660337371</v>
      </c>
    </row>
    <row r="293" spans="28:28" x14ac:dyDescent="0.3">
      <c r="AB293" s="3">
        <v>17.361125488987238</v>
      </c>
    </row>
    <row r="294" spans="28:28" x14ac:dyDescent="0.3">
      <c r="AB294" s="3">
        <v>17.215127516421404</v>
      </c>
    </row>
    <row r="295" spans="28:28" x14ac:dyDescent="0.3">
      <c r="AB295" s="3">
        <v>17.077129692688938</v>
      </c>
    </row>
    <row r="296" spans="28:28" x14ac:dyDescent="0.3">
      <c r="AB296" s="3">
        <v>17.077132011833484</v>
      </c>
    </row>
    <row r="297" spans="28:28" x14ac:dyDescent="0.3">
      <c r="AB297" s="3">
        <v>17.316134467752878</v>
      </c>
    </row>
    <row r="298" spans="28:28" x14ac:dyDescent="0.3">
      <c r="AB298" s="3">
        <v>17.250137054740222</v>
      </c>
    </row>
    <row r="299" spans="28:28" x14ac:dyDescent="0.3">
      <c r="AB299" s="3">
        <v>17.274139766957941</v>
      </c>
    </row>
    <row r="300" spans="28:28" x14ac:dyDescent="0.3">
      <c r="AB300" s="3">
        <v>17.274142596202534</v>
      </c>
    </row>
    <row r="301" spans="28:28" x14ac:dyDescent="0.3">
      <c r="AB301" s="3">
        <v>17.274145528690219</v>
      </c>
    </row>
    <row r="302" spans="28:28" x14ac:dyDescent="0.3">
      <c r="AB302" s="3">
        <v>17.274148560019047</v>
      </c>
    </row>
    <row r="303" spans="28:28" x14ac:dyDescent="0.3">
      <c r="AB303" s="3">
        <v>17.400151686183111</v>
      </c>
    </row>
    <row r="304" spans="28:28" x14ac:dyDescent="0.3">
      <c r="AB304" s="3">
        <v>17.400154903180788</v>
      </c>
    </row>
    <row r="305" spans="28:28" x14ac:dyDescent="0.3">
      <c r="AB305" s="3">
        <v>17.27415820700061</v>
      </c>
    </row>
    <row r="306" spans="28:28" x14ac:dyDescent="0.3">
      <c r="AB306" s="3">
        <v>16.977161593849225</v>
      </c>
    </row>
    <row r="307" spans="28:28" x14ac:dyDescent="0.3">
      <c r="AB307" s="3">
        <v>16.977165059887735</v>
      </c>
    </row>
    <row r="308" spans="28:28" x14ac:dyDescent="0.3">
      <c r="AB308" s="3">
        <v>15.594168601710809</v>
      </c>
    </row>
    <row r="309" spans="28:28" x14ac:dyDescent="0.3">
      <c r="AB309" s="3">
        <v>15.594172216575586</v>
      </c>
    </row>
    <row r="310" spans="28:28" x14ac:dyDescent="0.3">
      <c r="AB310" s="3">
        <v>15.186175901407809</v>
      </c>
    </row>
    <row r="311" spans="28:28" x14ac:dyDescent="0.3">
      <c r="AB311" s="3">
        <v>15.071182848939465</v>
      </c>
    </row>
    <row r="312" spans="28:28" x14ac:dyDescent="0.3">
      <c r="AB312" s="3">
        <v>15.073189699656057</v>
      </c>
    </row>
    <row r="313" spans="28:28" x14ac:dyDescent="0.3">
      <c r="AB313" s="3">
        <v>13.834196501812935</v>
      </c>
    </row>
    <row r="314" spans="28:28" x14ac:dyDescent="0.3">
      <c r="AB314" s="3">
        <v>13.850203259060063</v>
      </c>
    </row>
    <row r="315" spans="28:28" x14ac:dyDescent="0.3">
      <c r="AB315" s="3">
        <v>15.578209975078522</v>
      </c>
    </row>
    <row r="316" spans="28:28" x14ac:dyDescent="0.3">
      <c r="AB316" s="3">
        <v>16.604216653023393</v>
      </c>
    </row>
    <row r="317" spans="28:28" x14ac:dyDescent="0.3">
      <c r="AB317" s="3">
        <v>17.847223296532341</v>
      </c>
    </row>
    <row r="318" spans="28:28" x14ac:dyDescent="0.3">
      <c r="AB318" s="3">
        <v>17.847229908508673</v>
      </c>
    </row>
    <row r="319" spans="28:28" x14ac:dyDescent="0.3">
      <c r="AB319" s="3">
        <v>19.229236491642009</v>
      </c>
    </row>
    <row r="320" spans="28:28" x14ac:dyDescent="0.3">
      <c r="AB320" s="3">
        <v>19.229243048417661</v>
      </c>
    </row>
    <row r="321" spans="28:28" x14ac:dyDescent="0.3">
      <c r="AB321" s="3">
        <v>18.901249580885807</v>
      </c>
    </row>
    <row r="322" spans="28:28" x14ac:dyDescent="0.3">
      <c r="AB322" s="3">
        <v>19.010256091413659</v>
      </c>
    </row>
    <row r="323" spans="28:28" x14ac:dyDescent="0.3">
      <c r="AB323" s="3">
        <v>19.010262581709668</v>
      </c>
    </row>
    <row r="324" spans="28:28" x14ac:dyDescent="0.3">
      <c r="AB324" s="3">
        <v>19.010269052843899</v>
      </c>
    </row>
    <row r="325" spans="28:28" x14ac:dyDescent="0.3">
      <c r="AB325" s="3">
        <v>19.038275506483647</v>
      </c>
    </row>
    <row r="326" spans="28:28" x14ac:dyDescent="0.3">
      <c r="AB326" s="3">
        <v>19.189281944156626</v>
      </c>
    </row>
    <row r="327" spans="28:28" x14ac:dyDescent="0.3">
      <c r="AB327" s="3">
        <v>19.189288367270144</v>
      </c>
    </row>
    <row r="328" spans="28:28" x14ac:dyDescent="0.3">
      <c r="AB328" s="3">
        <v>19.343294777119773</v>
      </c>
    </row>
    <row r="329" spans="28:28" x14ac:dyDescent="0.3">
      <c r="AB329" s="3">
        <v>19.214301174651769</v>
      </c>
    </row>
    <row r="330" spans="28:28" x14ac:dyDescent="0.3">
      <c r="AB330" s="3">
        <v>20.58430756096331</v>
      </c>
    </row>
    <row r="331" spans="28:28" x14ac:dyDescent="0.3">
      <c r="AB331" s="3">
        <v>19.334313937059449</v>
      </c>
    </row>
    <row r="332" spans="28:28" x14ac:dyDescent="0.3">
      <c r="AB332" s="3">
        <v>19.334320303371257</v>
      </c>
    </row>
    <row r="333" spans="28:28" x14ac:dyDescent="0.3">
      <c r="AB333" s="3">
        <v>19.334326660501389</v>
      </c>
    </row>
    <row r="334" spans="28:28" x14ac:dyDescent="0.3">
      <c r="AB334" s="3">
        <v>19.492333008976338</v>
      </c>
    </row>
    <row r="335" spans="28:28" x14ac:dyDescent="0.3">
      <c r="AB335" s="3">
        <v>19.521339349254905</v>
      </c>
    </row>
    <row r="336" spans="28:28" x14ac:dyDescent="0.3">
      <c r="AB336" s="3">
        <v>19.437345681978826</v>
      </c>
    </row>
    <row r="337" spans="28:28" x14ac:dyDescent="0.3">
      <c r="AB337" s="3">
        <v>19.305352008222023</v>
      </c>
    </row>
    <row r="338" spans="28:28" x14ac:dyDescent="0.3">
      <c r="AB338" s="3">
        <v>20.676358328512713</v>
      </c>
    </row>
    <row r="339" spans="28:28" x14ac:dyDescent="0.3">
      <c r="AB339" s="3">
        <v>20.679364643583327</v>
      </c>
    </row>
    <row r="340" spans="28:28" x14ac:dyDescent="0.3">
      <c r="AB340" s="3">
        <v>20.570370954120776</v>
      </c>
    </row>
    <row r="341" spans="28:28" x14ac:dyDescent="0.3">
      <c r="AB341" s="3">
        <v>20.701377261019029</v>
      </c>
    </row>
    <row r="342" spans="28:28" x14ac:dyDescent="0.3">
      <c r="AB342" s="3">
        <v>20.701383564643745</v>
      </c>
    </row>
    <row r="343" spans="28:28" x14ac:dyDescent="0.3">
      <c r="AB343" s="3">
        <v>20.707389865332118</v>
      </c>
    </row>
    <row r="344" spans="28:28" x14ac:dyDescent="0.3">
      <c r="AB344" s="3">
        <v>20.559396163389135</v>
      </c>
    </row>
    <row r="345" spans="28:28" x14ac:dyDescent="0.3">
      <c r="AB345" s="3">
        <v>20.815942804480862</v>
      </c>
    </row>
    <row r="346" spans="28:28" x14ac:dyDescent="0.3">
      <c r="AB346" s="3">
        <v>20.011201808336253</v>
      </c>
    </row>
    <row r="347" spans="28:28" x14ac:dyDescent="0.3">
      <c r="AB347" s="3">
        <v>19.983106496526574</v>
      </c>
    </row>
    <row r="348" spans="28:28" x14ac:dyDescent="0.3">
      <c r="AB348" s="3">
        <v>18.82001505897821</v>
      </c>
    </row>
    <row r="349" spans="28:28" x14ac:dyDescent="0.3">
      <c r="AB349" s="3">
        <v>18.949927281641948</v>
      </c>
    </row>
    <row r="350" spans="28:28" x14ac:dyDescent="0.3">
      <c r="AB350" s="3">
        <v>21.070434013856605</v>
      </c>
    </row>
    <row r="351" spans="28:28" x14ac:dyDescent="0.3">
      <c r="AB351" s="3">
        <v>22.705440364035923</v>
      </c>
    </row>
    <row r="352" spans="28:28" x14ac:dyDescent="0.3">
      <c r="AB352" s="3">
        <v>21.277446724814169</v>
      </c>
    </row>
    <row r="353" spans="28:28" x14ac:dyDescent="0.3">
      <c r="AB353" s="3">
        <v>21.339453096716948</v>
      </c>
    </row>
    <row r="354" spans="28:28" x14ac:dyDescent="0.3">
      <c r="AB354" s="3">
        <v>21.339459478720002</v>
      </c>
    </row>
    <row r="355" spans="28:28" x14ac:dyDescent="0.3">
      <c r="AB355" s="3">
        <v>19.980465874712294</v>
      </c>
    </row>
    <row r="356" spans="28:28" x14ac:dyDescent="0.3">
      <c r="AB356" s="3">
        <v>20.158472284852422</v>
      </c>
    </row>
    <row r="357" spans="28:28" x14ac:dyDescent="0.3">
      <c r="AB357" s="3">
        <v>24.198478709091219</v>
      </c>
    </row>
    <row r="358" spans="28:28" x14ac:dyDescent="0.3">
      <c r="AB358" s="3">
        <v>24.332485146633079</v>
      </c>
    </row>
    <row r="359" spans="28:28" x14ac:dyDescent="0.3">
      <c r="AB359" s="3">
        <v>24.33249159814936</v>
      </c>
    </row>
    <row r="360" spans="28:28" x14ac:dyDescent="0.3">
      <c r="AB360" s="3">
        <v>24.312498064042181</v>
      </c>
    </row>
    <row r="361" spans="28:28" x14ac:dyDescent="0.3">
      <c r="AB361" s="3">
        <v>24.31250454421961</v>
      </c>
    </row>
    <row r="362" spans="28:28" x14ac:dyDescent="0.3">
      <c r="AB362" s="3">
        <v>24.454511039323911</v>
      </c>
    </row>
    <row r="363" spans="28:28" x14ac:dyDescent="0.3">
      <c r="AB363" s="3">
        <v>24.638517540643722</v>
      </c>
    </row>
    <row r="364" spans="28:28" x14ac:dyDescent="0.3">
      <c r="AB364" s="3">
        <v>24.623524048845415</v>
      </c>
    </row>
    <row r="365" spans="28:28" x14ac:dyDescent="0.3">
      <c r="AB365" s="3">
        <v>24.635527699976105</v>
      </c>
    </row>
    <row r="366" spans="28:28" x14ac:dyDescent="0.3">
      <c r="AB366" s="3">
        <v>23.323531502937247</v>
      </c>
    </row>
    <row r="367" spans="28:28" x14ac:dyDescent="0.3">
      <c r="AB367" s="3">
        <v>23.221535412812703</v>
      </c>
    </row>
    <row r="368" spans="28:28" x14ac:dyDescent="0.3">
      <c r="AB368" s="3">
        <v>23.852539424795356</v>
      </c>
    </row>
    <row r="369" spans="28:28" x14ac:dyDescent="0.3">
      <c r="AB369" s="3">
        <v>23.731543532949448</v>
      </c>
    </row>
    <row r="370" spans="28:28" x14ac:dyDescent="0.3">
      <c r="AB370" s="3">
        <v>23.937547731938096</v>
      </c>
    </row>
    <row r="371" spans="28:28" x14ac:dyDescent="0.3">
      <c r="AB371" s="3">
        <v>23.747548822067884</v>
      </c>
    </row>
    <row r="372" spans="28:28" x14ac:dyDescent="0.3">
      <c r="AB372" s="3">
        <v>22.178187739491708</v>
      </c>
    </row>
    <row r="373" spans="28:28" x14ac:dyDescent="0.3">
      <c r="AB373" s="3">
        <v>19.517278328421838</v>
      </c>
    </row>
    <row r="374" spans="28:28" x14ac:dyDescent="0.3">
      <c r="AB374" s="3">
        <v>19.307279436293896</v>
      </c>
    </row>
    <row r="375" spans="28:28" x14ac:dyDescent="0.3">
      <c r="AB375" s="3">
        <v>19.647283665985995</v>
      </c>
    </row>
    <row r="376" spans="28:28" x14ac:dyDescent="0.3">
      <c r="AB376" s="3">
        <v>18.270288846314948</v>
      </c>
    </row>
    <row r="377" spans="28:28" x14ac:dyDescent="0.3">
      <c r="AB377" s="3">
        <v>18.415294091885059</v>
      </c>
    </row>
    <row r="378" spans="28:28" x14ac:dyDescent="0.3">
      <c r="AB378" s="3">
        <v>18.522296144283008</v>
      </c>
    </row>
    <row r="379" spans="28:28" x14ac:dyDescent="0.3">
      <c r="AB379" s="3">
        <v>18.523298174607042</v>
      </c>
    </row>
    <row r="380" spans="28:28" x14ac:dyDescent="0.3">
      <c r="AB380" s="3">
        <v>20.219550681674129</v>
      </c>
    </row>
    <row r="381" spans="28:28" x14ac:dyDescent="0.3">
      <c r="AB381" s="3">
        <v>21.371552572029238</v>
      </c>
    </row>
    <row r="382" spans="28:28" x14ac:dyDescent="0.3">
      <c r="AB382" s="3">
        <v>20.354269340501123</v>
      </c>
    </row>
    <row r="383" spans="28:28" x14ac:dyDescent="0.3">
      <c r="AB383" s="3">
        <v>19.480320439485322</v>
      </c>
    </row>
    <row r="384" spans="28:28" x14ac:dyDescent="0.3">
      <c r="AB384" s="3">
        <v>19.336328737623401</v>
      </c>
    </row>
    <row r="385" spans="28:28" x14ac:dyDescent="0.3">
      <c r="AB385" s="3">
        <v>19.294337014417788</v>
      </c>
    </row>
    <row r="386" spans="28:28" x14ac:dyDescent="0.3">
      <c r="AB386" s="3">
        <v>21.444841253392532</v>
      </c>
    </row>
    <row r="387" spans="28:28" x14ac:dyDescent="0.3">
      <c r="AB387" s="3">
        <v>21.523850484774616</v>
      </c>
    </row>
    <row r="388" spans="28:28" x14ac:dyDescent="0.3">
      <c r="AB388" s="3">
        <v>21.556859251820711</v>
      </c>
    </row>
    <row r="389" spans="28:28" x14ac:dyDescent="0.3">
      <c r="AB389" s="3">
        <v>21.974523910239082</v>
      </c>
    </row>
    <row r="390" spans="28:28" x14ac:dyDescent="0.3">
      <c r="AB390" s="3">
        <v>22.859601454063029</v>
      </c>
    </row>
    <row r="391" spans="28:28" x14ac:dyDescent="0.3">
      <c r="AB391" s="3">
        <v>22.775609497777715</v>
      </c>
    </row>
    <row r="392" spans="28:28" x14ac:dyDescent="0.3">
      <c r="AB392" s="3">
        <v>22.664617481361454</v>
      </c>
    </row>
    <row r="393" spans="28:28" x14ac:dyDescent="0.3">
      <c r="AB393" s="3">
        <v>22.445625410470647</v>
      </c>
    </row>
    <row r="394" spans="28:28" x14ac:dyDescent="0.3">
      <c r="AB394" s="3">
        <v>22.579632651259725</v>
      </c>
    </row>
    <row r="395" spans="28:28" x14ac:dyDescent="0.3">
      <c r="AB395" s="3">
        <v>24.611909299667975</v>
      </c>
    </row>
    <row r="396" spans="28:28" x14ac:dyDescent="0.3">
      <c r="AB396" s="3">
        <v>24.599912359232814</v>
      </c>
    </row>
    <row r="397" spans="28:28" x14ac:dyDescent="0.3">
      <c r="AB397" s="3">
        <v>24.500915489752501</v>
      </c>
    </row>
    <row r="398" spans="28:28" x14ac:dyDescent="0.3">
      <c r="AB398" s="3">
        <v>25.341918673030808</v>
      </c>
    </row>
    <row r="399" spans="28:28" x14ac:dyDescent="0.3">
      <c r="AB399" s="3">
        <v>27.421921907923458</v>
      </c>
    </row>
    <row r="400" spans="28:28" x14ac:dyDescent="0.3">
      <c r="AB400" s="3">
        <v>27.599924956434386</v>
      </c>
    </row>
    <row r="401" spans="28:28" x14ac:dyDescent="0.3">
      <c r="AB401" s="3">
        <v>29.618412105261822</v>
      </c>
    </row>
    <row r="402" spans="28:28" x14ac:dyDescent="0.3">
      <c r="AB402" s="3">
        <v>29.226220976054595</v>
      </c>
    </row>
    <row r="403" spans="28:28" x14ac:dyDescent="0.3">
      <c r="AB403" s="3">
        <v>28.581418234165358</v>
      </c>
    </row>
    <row r="404" spans="28:28" x14ac:dyDescent="0.3">
      <c r="AB404" s="3">
        <v>27.919227288673341</v>
      </c>
    </row>
    <row r="405" spans="28:28" x14ac:dyDescent="0.3">
      <c r="AB405" s="3">
        <v>26.436940185632842</v>
      </c>
    </row>
    <row r="406" spans="28:28" x14ac:dyDescent="0.3">
      <c r="AB406" s="3">
        <v>25.920107543101963</v>
      </c>
    </row>
    <row r="407" spans="28:28" x14ac:dyDescent="0.3">
      <c r="AB407" s="3">
        <v>24.518692770179971</v>
      </c>
    </row>
    <row r="408" spans="28:28" x14ac:dyDescent="0.3">
      <c r="AB408" s="3">
        <v>26.415950147902397</v>
      </c>
    </row>
    <row r="409" spans="28:28" x14ac:dyDescent="0.3">
      <c r="AB409" s="3">
        <v>27.671953711503519</v>
      </c>
    </row>
    <row r="410" spans="28:28" x14ac:dyDescent="0.3">
      <c r="AB410" s="3">
        <v>29.718440095820689</v>
      </c>
    </row>
    <row r="411" spans="28:28" x14ac:dyDescent="0.3">
      <c r="AB411" s="3">
        <v>29.893443268186921</v>
      </c>
    </row>
    <row r="412" spans="28:28" x14ac:dyDescent="0.3">
      <c r="AB412" s="3">
        <v>29.939446451046411</v>
      </c>
    </row>
    <row r="413" spans="28:28" x14ac:dyDescent="0.3">
      <c r="AB413" s="3">
        <v>32.718449657202839</v>
      </c>
    </row>
    <row r="414" spans="28:28" x14ac:dyDescent="0.3">
      <c r="AB414" s="3">
        <v>33.96745286674183</v>
      </c>
    </row>
    <row r="415" spans="28:28" x14ac:dyDescent="0.3">
      <c r="AB415" s="3">
        <v>31.614392082093595</v>
      </c>
    </row>
    <row r="416" spans="28:28" x14ac:dyDescent="0.3">
      <c r="AB416" s="3">
        <v>30.105738083007836</v>
      </c>
    </row>
    <row r="417" spans="28:28" x14ac:dyDescent="0.3">
      <c r="AB417" s="3">
        <v>29.198743684031136</v>
      </c>
    </row>
    <row r="418" spans="28:28" x14ac:dyDescent="0.3">
      <c r="AB418" s="3">
        <v>28.757748867188599</v>
      </c>
    </row>
    <row r="419" spans="28:28" x14ac:dyDescent="0.3">
      <c r="AB419" s="3">
        <v>28.777754105492967</v>
      </c>
    </row>
    <row r="420" spans="28:28" x14ac:dyDescent="0.3">
      <c r="AB420" s="3">
        <v>27.985663408092726</v>
      </c>
    </row>
    <row r="421" spans="28:28" x14ac:dyDescent="0.3">
      <c r="AB421" s="3">
        <v>28.758144922097543</v>
      </c>
    </row>
    <row r="422" spans="28:28" x14ac:dyDescent="0.3">
      <c r="AB422" s="3">
        <v>28.629161312892588</v>
      </c>
    </row>
    <row r="423" spans="28:28" x14ac:dyDescent="0.3">
      <c r="AB423" s="3">
        <v>30.60265569533745</v>
      </c>
    </row>
    <row r="424" spans="28:28" x14ac:dyDescent="0.3">
      <c r="AB424" s="3">
        <v>30.15648914613525</v>
      </c>
    </row>
    <row r="425" spans="28:28" x14ac:dyDescent="0.3">
      <c r="AB425" s="3">
        <v>29.077592429439203</v>
      </c>
    </row>
    <row r="426" spans="28:28" x14ac:dyDescent="0.3">
      <c r="AB426" s="3">
        <v>28.953060805159215</v>
      </c>
    </row>
    <row r="427" spans="28:28" x14ac:dyDescent="0.3">
      <c r="AB427" s="3">
        <v>30.779080175414563</v>
      </c>
    </row>
    <row r="428" spans="28:28" x14ac:dyDescent="0.3">
      <c r="AB428" s="3">
        <v>31.494313995283211</v>
      </c>
    </row>
    <row r="429" spans="28:28" x14ac:dyDescent="0.3">
      <c r="AB429" s="3">
        <v>33.537328523772366</v>
      </c>
    </row>
    <row r="430" spans="28:28" x14ac:dyDescent="0.3">
      <c r="AB430" s="3">
        <v>36.774343049925314</v>
      </c>
    </row>
    <row r="431" spans="28:28" x14ac:dyDescent="0.3">
      <c r="AB431" s="3">
        <v>38.964357576916278</v>
      </c>
    </row>
    <row r="432" spans="28:28" x14ac:dyDescent="0.3">
      <c r="AB432" s="3">
        <v>41.501371718822682</v>
      </c>
    </row>
    <row r="433" spans="28:28" x14ac:dyDescent="0.3">
      <c r="AB433" s="3">
        <v>38.71736393151722</v>
      </c>
    </row>
    <row r="434" spans="28:28" x14ac:dyDescent="0.3">
      <c r="AB434" s="3">
        <v>38.114342051566588</v>
      </c>
    </row>
    <row r="435" spans="28:28" x14ac:dyDescent="0.3">
      <c r="AB435" s="3">
        <v>39.837354717080089</v>
      </c>
    </row>
    <row r="436" spans="28:28" x14ac:dyDescent="0.3">
      <c r="AB436" s="3">
        <v>41.872095351581386</v>
      </c>
    </row>
    <row r="437" spans="28:28" x14ac:dyDescent="0.3">
      <c r="AB437" s="3">
        <v>41.368702103930715</v>
      </c>
    </row>
    <row r="438" spans="28:28" x14ac:dyDescent="0.3">
      <c r="AB438" s="3">
        <v>39.252724599281336</v>
      </c>
    </row>
    <row r="439" spans="28:28" x14ac:dyDescent="0.3">
      <c r="AB439" s="3">
        <v>38.019548614134806</v>
      </c>
    </row>
    <row r="440" spans="28:28" x14ac:dyDescent="0.3">
      <c r="AB440" s="3">
        <v>36.370930657328216</v>
      </c>
    </row>
    <row r="441" spans="28:28" x14ac:dyDescent="0.3">
      <c r="AB441" s="3">
        <v>36.457902771901807</v>
      </c>
    </row>
    <row r="442" spans="28:28" x14ac:dyDescent="0.3">
      <c r="AB442" s="3">
        <v>41.832335239886078</v>
      </c>
    </row>
    <row r="443" spans="28:28" x14ac:dyDescent="0.3">
      <c r="AB443" s="3">
        <v>43.74730993710336</v>
      </c>
    </row>
    <row r="444" spans="28:28" x14ac:dyDescent="0.3">
      <c r="AB444" s="3">
        <v>43.684285070505325</v>
      </c>
    </row>
    <row r="445" spans="28:28" x14ac:dyDescent="0.3">
      <c r="AB445" s="3">
        <v>40.619492454681456</v>
      </c>
    </row>
    <row r="446" spans="28:28" x14ac:dyDescent="0.3">
      <c r="AB446" s="3">
        <v>41.875961184061019</v>
      </c>
    </row>
    <row r="447" spans="28:28" x14ac:dyDescent="0.3">
      <c r="AB447" s="3">
        <v>42.974923255883631</v>
      </c>
    </row>
    <row r="448" spans="28:28" x14ac:dyDescent="0.3">
      <c r="AB448" s="3">
        <v>43.767001956107059</v>
      </c>
    </row>
    <row r="449" spans="28:28" x14ac:dyDescent="0.3">
      <c r="AB449" s="3">
        <v>43.809077650617915</v>
      </c>
    </row>
    <row r="450" spans="28:28" x14ac:dyDescent="0.3">
      <c r="AB450" s="3">
        <v>43.930150365839744</v>
      </c>
    </row>
    <row r="451" spans="28:28" x14ac:dyDescent="0.3">
      <c r="AB451" s="3">
        <v>48.129221054087807</v>
      </c>
    </row>
    <row r="452" spans="28:28" x14ac:dyDescent="0.3">
      <c r="AB452" s="3">
        <v>48.168288434423907</v>
      </c>
    </row>
    <row r="453" spans="28:28" x14ac:dyDescent="0.3">
      <c r="AB453" s="3">
        <v>48.074352393490607</v>
      </c>
    </row>
    <row r="454" spans="28:28" x14ac:dyDescent="0.3">
      <c r="AB454" s="3">
        <v>48.26841362481742</v>
      </c>
    </row>
    <row r="455" spans="28:28" x14ac:dyDescent="0.3">
      <c r="AB455" s="3">
        <v>47.60885390871136</v>
      </c>
    </row>
    <row r="456" spans="28:28" x14ac:dyDescent="0.3">
      <c r="AB456" s="3">
        <v>44.300539337925088</v>
      </c>
    </row>
    <row r="457" spans="28:28" x14ac:dyDescent="0.3">
      <c r="AB457" s="3">
        <v>42.238862816296496</v>
      </c>
    </row>
    <row r="458" spans="28:28" x14ac:dyDescent="0.3">
      <c r="AB458" s="3">
        <v>45.61613925808286</v>
      </c>
    </row>
    <row r="459" spans="28:28" x14ac:dyDescent="0.3">
      <c r="AB459" s="3">
        <v>44.822319182614258</v>
      </c>
    </row>
    <row r="460" spans="28:28" x14ac:dyDescent="0.3">
      <c r="AB460" s="3">
        <v>43.680293645935187</v>
      </c>
    </row>
    <row r="461" spans="28:28" x14ac:dyDescent="0.3">
      <c r="AB461" s="3">
        <v>43.032202608390946</v>
      </c>
    </row>
    <row r="462" spans="28:28" x14ac:dyDescent="0.3">
      <c r="AB462" s="3">
        <v>41.090081566107237</v>
      </c>
    </row>
    <row r="463" spans="28:28" x14ac:dyDescent="0.3">
      <c r="AB463" s="3">
        <v>38.835718207921026</v>
      </c>
    </row>
    <row r="464" spans="28:28" x14ac:dyDescent="0.3">
      <c r="AB464" s="3">
        <v>39.879966731724487</v>
      </c>
    </row>
    <row r="465" spans="28:28" x14ac:dyDescent="0.3">
      <c r="AB465" s="3">
        <v>38.799685136471069</v>
      </c>
    </row>
    <row r="466" spans="28:28" x14ac:dyDescent="0.3">
      <c r="AB466" s="3">
        <v>42.092443775513772</v>
      </c>
    </row>
    <row r="467" spans="28:28" x14ac:dyDescent="0.3">
      <c r="AB467" s="3">
        <v>38.589621825304143</v>
      </c>
    </row>
    <row r="468" spans="28:28" x14ac:dyDescent="0.3">
      <c r="AB468" s="3">
        <v>36.264039480407646</v>
      </c>
    </row>
    <row r="469" spans="28:28" x14ac:dyDescent="0.3">
      <c r="AB469" s="3">
        <v>34.73013455817599</v>
      </c>
    </row>
    <row r="470" spans="28:28" x14ac:dyDescent="0.3">
      <c r="AB470" s="3">
        <v>37.426277265406767</v>
      </c>
    </row>
    <row r="471" spans="28:28" x14ac:dyDescent="0.3">
      <c r="AB471" s="3">
        <v>39.36283134993959</v>
      </c>
    </row>
    <row r="472" spans="28:28" x14ac:dyDescent="0.3">
      <c r="AB472" s="3">
        <v>35.837678951362356</v>
      </c>
    </row>
    <row r="473" spans="28:28" x14ac:dyDescent="0.3">
      <c r="AB473" s="3">
        <v>35.21713445244211</v>
      </c>
    </row>
    <row r="474" spans="28:28" x14ac:dyDescent="0.3">
      <c r="AB474" s="3">
        <v>35.617994236996402</v>
      </c>
    </row>
    <row r="475" spans="28:28" x14ac:dyDescent="0.3">
      <c r="AB475" s="3">
        <v>33.322849034508842</v>
      </c>
    </row>
    <row r="476" spans="28:28" x14ac:dyDescent="0.3">
      <c r="AB476" s="3">
        <v>31.747291821086243</v>
      </c>
    </row>
    <row r="477" spans="28:28" x14ac:dyDescent="0.3">
      <c r="AB477" s="3">
        <v>31.939675517212063</v>
      </c>
    </row>
    <row r="478" spans="28:28" x14ac:dyDescent="0.3">
      <c r="AB478" s="3">
        <v>32.697414570538449</v>
      </c>
    </row>
    <row r="479" spans="28:28" x14ac:dyDescent="0.3">
      <c r="AB479" s="3">
        <v>32.251791228090568</v>
      </c>
    </row>
    <row r="480" spans="28:28" x14ac:dyDescent="0.3">
      <c r="AB480" s="3">
        <v>31.17182540638397</v>
      </c>
    </row>
    <row r="481" spans="28:28" x14ac:dyDescent="0.3">
      <c r="AB481" s="3">
        <v>30.001895695111514</v>
      </c>
    </row>
    <row r="482" spans="28:28" x14ac:dyDescent="0.3">
      <c r="AB482" s="3">
        <v>30.584117397841911</v>
      </c>
    </row>
    <row r="483" spans="28:28" x14ac:dyDescent="0.3">
      <c r="AB483" s="3">
        <v>34.012147086561264</v>
      </c>
    </row>
    <row r="484" spans="28:28" x14ac:dyDescent="0.3">
      <c r="AB484" s="3">
        <v>35.671175750317587</v>
      </c>
    </row>
    <row r="485" spans="28:28" x14ac:dyDescent="0.3">
      <c r="AB485" s="3">
        <v>34.576110279385027</v>
      </c>
    </row>
    <row r="486" spans="28:28" x14ac:dyDescent="0.3">
      <c r="AB486" s="3">
        <v>30.746333053757116</v>
      </c>
    </row>
    <row r="487" spans="28:28" x14ac:dyDescent="0.3">
      <c r="AB487" s="3">
        <v>32.986843880334547</v>
      </c>
    </row>
    <row r="488" spans="28:28" x14ac:dyDescent="0.3">
      <c r="AB488" s="3">
        <v>32.933029473621858</v>
      </c>
    </row>
    <row r="489" spans="28:28" x14ac:dyDescent="0.3">
      <c r="AB489" s="3">
        <v>34.542965298822729</v>
      </c>
    </row>
    <row r="490" spans="28:28" x14ac:dyDescent="0.3">
      <c r="AB490" s="3">
        <v>36.25029101525768</v>
      </c>
    </row>
    <row r="491" spans="28:28" x14ac:dyDescent="0.3">
      <c r="AB491" s="3">
        <v>34.799847681504239</v>
      </c>
    </row>
    <row r="492" spans="28:28" x14ac:dyDescent="0.3">
      <c r="AB492" s="3">
        <v>32.852984963902912</v>
      </c>
    </row>
    <row r="493" spans="28:28" x14ac:dyDescent="0.3">
      <c r="AB493" s="3">
        <v>34.681298109087308</v>
      </c>
    </row>
    <row r="494" spans="28:28" x14ac:dyDescent="0.3">
      <c r="AB494" s="3">
        <v>35.160379879048847</v>
      </c>
    </row>
    <row r="495" spans="28:28" x14ac:dyDescent="0.3">
      <c r="AB495" s="3">
        <v>39.162381890720113</v>
      </c>
    </row>
    <row r="496" spans="28:28" x14ac:dyDescent="0.3">
      <c r="AB496" s="3">
        <v>37.350397533812185</v>
      </c>
    </row>
    <row r="497" spans="28:28" x14ac:dyDescent="0.3">
      <c r="AB497" s="3">
        <v>39.33824203850817</v>
      </c>
    </row>
    <row r="498" spans="28:28" x14ac:dyDescent="0.3">
      <c r="AB498" s="3">
        <v>38.495602234941977</v>
      </c>
    </row>
    <row r="499" spans="28:28" x14ac:dyDescent="0.3">
      <c r="AB499" s="3">
        <v>38.819052368594022</v>
      </c>
    </row>
    <row r="500" spans="28:28" x14ac:dyDescent="0.3">
      <c r="AB500" s="3">
        <v>40.214369105111111</v>
      </c>
    </row>
    <row r="501" spans="28:28" x14ac:dyDescent="0.3">
      <c r="AB501" s="3">
        <v>36.49611713694847</v>
      </c>
    </row>
    <row r="502" spans="28:28" x14ac:dyDescent="0.3">
      <c r="AB502" s="3">
        <v>35.826819916927057</v>
      </c>
    </row>
    <row r="503" spans="28:28" x14ac:dyDescent="0.3">
      <c r="AB503" s="3">
        <v>38.052916042435371</v>
      </c>
    </row>
    <row r="504" spans="28:28" x14ac:dyDescent="0.3">
      <c r="AB504" s="3">
        <v>39.901927737611061</v>
      </c>
    </row>
    <row r="505" spans="28:28" x14ac:dyDescent="0.3">
      <c r="AB505" s="3">
        <v>40.395925042700142</v>
      </c>
    </row>
    <row r="506" spans="28:28" x14ac:dyDescent="0.3">
      <c r="AB506" s="3">
        <v>39.231522032269929</v>
      </c>
    </row>
    <row r="507" spans="28:28" x14ac:dyDescent="0.3">
      <c r="AB507" s="3">
        <v>39.987116618481579</v>
      </c>
    </row>
    <row r="508" spans="28:28" x14ac:dyDescent="0.3">
      <c r="AB508" s="3">
        <v>43.001621591135802</v>
      </c>
    </row>
    <row r="509" spans="28:28" x14ac:dyDescent="0.3">
      <c r="AB509" s="3">
        <v>43.294989849767951</v>
      </c>
    </row>
    <row r="510" spans="28:28" x14ac:dyDescent="0.3">
      <c r="AB510" s="3">
        <v>41.759935126735037</v>
      </c>
    </row>
    <row r="511" spans="28:28" x14ac:dyDescent="0.3">
      <c r="AB511" s="3">
        <v>43.551873567554459</v>
      </c>
    </row>
    <row r="512" spans="28:28" x14ac:dyDescent="0.3">
      <c r="AB512" s="3">
        <v>42.14174845549168</v>
      </c>
    </row>
    <row r="513" spans="28:28" x14ac:dyDescent="0.3">
      <c r="AB513" s="3">
        <v>44.817999146384508</v>
      </c>
    </row>
    <row r="514" spans="28:28" x14ac:dyDescent="0.3">
      <c r="AB514" s="3">
        <v>46.674540334084</v>
      </c>
    </row>
    <row r="515" spans="28:28" x14ac:dyDescent="0.3">
      <c r="AB515" s="3">
        <v>46.584074400763868</v>
      </c>
    </row>
    <row r="516" spans="28:28" x14ac:dyDescent="0.3">
      <c r="AB516" s="3">
        <v>46.727726501020769</v>
      </c>
    </row>
    <row r="517" spans="28:28" x14ac:dyDescent="0.3">
      <c r="AB517" s="3">
        <v>48.606354489146035</v>
      </c>
    </row>
    <row r="518" spans="28:28" x14ac:dyDescent="0.3">
      <c r="AB518" s="3">
        <v>49.39782717866261</v>
      </c>
    </row>
    <row r="519" spans="28:28" x14ac:dyDescent="0.3">
      <c r="AB519" s="3">
        <v>49.215795944080291</v>
      </c>
    </row>
    <row r="520" spans="28:28" x14ac:dyDescent="0.3">
      <c r="AB520" s="3">
        <v>48.46976438920953</v>
      </c>
    </row>
    <row r="521" spans="28:28" x14ac:dyDescent="0.3">
      <c r="AB521" s="3">
        <v>45.632763592854175</v>
      </c>
    </row>
    <row r="522" spans="28:28" x14ac:dyDescent="0.3">
      <c r="AB522" s="3">
        <v>44.730839174088409</v>
      </c>
    </row>
    <row r="523" spans="28:28" x14ac:dyDescent="0.3">
      <c r="AB523" s="3">
        <v>44.6023890886202</v>
      </c>
    </row>
    <row r="524" spans="28:28" x14ac:dyDescent="0.3">
      <c r="AB524" s="3">
        <v>44.654209162027257</v>
      </c>
    </row>
    <row r="525" spans="28:28" x14ac:dyDescent="0.3">
      <c r="AB525" s="3">
        <v>45.174651959724464</v>
      </c>
    </row>
    <row r="526" spans="28:28" x14ac:dyDescent="0.3">
      <c r="AB526" s="3">
        <v>44.778780572405431</v>
      </c>
    </row>
    <row r="527" spans="28:28" x14ac:dyDescent="0.3">
      <c r="AB527" s="3">
        <v>43.607330566764482</v>
      </c>
    </row>
    <row r="528" spans="28:28" x14ac:dyDescent="0.3">
      <c r="AB528" s="3">
        <v>40.889967419996161</v>
      </c>
    </row>
    <row r="529" spans="28:28" x14ac:dyDescent="0.3">
      <c r="AB529" s="3">
        <v>41.120059376881855</v>
      </c>
    </row>
    <row r="530" spans="28:28" x14ac:dyDescent="0.3">
      <c r="AB530" s="3">
        <v>39.574746961848199</v>
      </c>
    </row>
    <row r="531" spans="28:28" x14ac:dyDescent="0.3">
      <c r="AB531" s="3">
        <v>37.946732732767103</v>
      </c>
    </row>
    <row r="532" spans="28:28" x14ac:dyDescent="0.3">
      <c r="AB532" s="3">
        <v>39.191796830078317</v>
      </c>
    </row>
    <row r="533" spans="28:28" x14ac:dyDescent="0.3">
      <c r="AB533" s="3">
        <v>39.730605919348875</v>
      </c>
    </row>
    <row r="534" spans="28:28" x14ac:dyDescent="0.3">
      <c r="AB534" s="3">
        <v>38.454950718404113</v>
      </c>
    </row>
    <row r="535" spans="28:28" x14ac:dyDescent="0.3">
      <c r="AB535" s="3">
        <v>39.219013036090637</v>
      </c>
    </row>
    <row r="536" spans="28:28" x14ac:dyDescent="0.3">
      <c r="AB536" s="3">
        <v>38.048962841030928</v>
      </c>
    </row>
    <row r="537" spans="28:28" x14ac:dyDescent="0.3">
      <c r="AB537" s="3">
        <v>40.096916966924631</v>
      </c>
    </row>
    <row r="538" spans="28:28" x14ac:dyDescent="0.3">
      <c r="AB538" s="3">
        <v>38.867875479781176</v>
      </c>
    </row>
    <row r="539" spans="28:28" x14ac:dyDescent="0.3">
      <c r="AB539" s="3">
        <v>38.812836377467235</v>
      </c>
    </row>
    <row r="540" spans="28:28" x14ac:dyDescent="0.3">
      <c r="AB540" s="3">
        <v>36.77279707068751</v>
      </c>
    </row>
    <row r="541" spans="28:28" x14ac:dyDescent="0.3">
      <c r="AB541" s="3">
        <v>36.812759957682843</v>
      </c>
    </row>
    <row r="542" spans="28:28" x14ac:dyDescent="0.3">
      <c r="AB542" s="3">
        <v>37.150730396462585</v>
      </c>
    </row>
    <row r="543" spans="28:28" x14ac:dyDescent="0.3">
      <c r="AB543" s="3">
        <v>37.2367023908959</v>
      </c>
    </row>
    <row r="544" spans="28:28" x14ac:dyDescent="0.3">
      <c r="AB544" s="3">
        <v>35.829673877173569</v>
      </c>
    </row>
    <row r="545" spans="28:28" x14ac:dyDescent="0.3">
      <c r="AB545" s="3">
        <v>35.730651621024741</v>
      </c>
    </row>
    <row r="546" spans="28:28" x14ac:dyDescent="0.3">
      <c r="AB546" s="3">
        <v>35.575636452376372</v>
      </c>
    </row>
    <row r="547" spans="28:28" x14ac:dyDescent="0.3">
      <c r="AB547" s="3">
        <v>35.480598561340621</v>
      </c>
    </row>
    <row r="548" spans="28:28" x14ac:dyDescent="0.3">
      <c r="AB548" s="3">
        <v>36.66483214022994</v>
      </c>
    </row>
    <row r="549" spans="28:28" x14ac:dyDescent="0.3">
      <c r="AB549" s="3">
        <v>35.960988667054309</v>
      </c>
    </row>
    <row r="550" spans="28:28" x14ac:dyDescent="0.3">
      <c r="AB550" s="3">
        <v>37.938439491405688</v>
      </c>
    </row>
    <row r="551" spans="28:28" x14ac:dyDescent="0.3">
      <c r="AB551" s="3">
        <v>37.838237246756059</v>
      </c>
    </row>
    <row r="552" spans="28:28" x14ac:dyDescent="0.3">
      <c r="AB552" s="3">
        <v>35.814133612202973</v>
      </c>
    </row>
    <row r="553" spans="28:28" x14ac:dyDescent="0.3">
      <c r="AB553" s="3">
        <v>36.013015054388489</v>
      </c>
    </row>
    <row r="554" spans="28:28" x14ac:dyDescent="0.3">
      <c r="AB554" s="3">
        <v>32.290737102315013</v>
      </c>
    </row>
    <row r="555" spans="28:28" x14ac:dyDescent="0.3">
      <c r="AB555" s="3">
        <v>32.008122961481952</v>
      </c>
    </row>
    <row r="556" spans="28:28" x14ac:dyDescent="0.3">
      <c r="AB556" s="3">
        <v>31.969993189325326</v>
      </c>
    </row>
    <row r="557" spans="28:28" x14ac:dyDescent="0.3">
      <c r="AB557" s="3">
        <v>33.028870509463189</v>
      </c>
    </row>
    <row r="558" spans="28:28" x14ac:dyDescent="0.3">
      <c r="AB558" s="3">
        <v>32.711100113515478</v>
      </c>
    </row>
    <row r="559" spans="28:28" x14ac:dyDescent="0.3">
      <c r="AB559" s="3">
        <v>29.690178898863032</v>
      </c>
    </row>
    <row r="560" spans="28:28" x14ac:dyDescent="0.3">
      <c r="AB560" s="3">
        <v>28.40708602357978</v>
      </c>
    </row>
    <row r="561" spans="28:28" x14ac:dyDescent="0.3">
      <c r="AB561" s="3">
        <v>25.869991699774356</v>
      </c>
    </row>
    <row r="562" spans="28:28" x14ac:dyDescent="0.3">
      <c r="AB562" s="3">
        <v>26.010898228085534</v>
      </c>
    </row>
    <row r="563" spans="28:28" x14ac:dyDescent="0.3">
      <c r="AB563" s="3">
        <v>25.624802583035134</v>
      </c>
    </row>
    <row r="564" spans="28:28" x14ac:dyDescent="0.3">
      <c r="AB564" s="3">
        <v>25.476712895018569</v>
      </c>
    </row>
    <row r="565" spans="28:28" x14ac:dyDescent="0.3">
      <c r="AB565" s="3">
        <v>26.646040862291706</v>
      </c>
    </row>
    <row r="566" spans="28:28" x14ac:dyDescent="0.3">
      <c r="AB566" s="3">
        <v>22.144240004148358</v>
      </c>
    </row>
    <row r="567" spans="28:28" x14ac:dyDescent="0.3">
      <c r="AB567" s="3">
        <v>21.583978997154741</v>
      </c>
    </row>
    <row r="568" spans="28:28" x14ac:dyDescent="0.3">
      <c r="AB568" s="3">
        <v>21.682696080503419</v>
      </c>
    </row>
    <row r="569" spans="28:28" x14ac:dyDescent="0.3">
      <c r="AB569" s="3">
        <v>24.614010694509407</v>
      </c>
    </row>
    <row r="570" spans="28:28" x14ac:dyDescent="0.3">
      <c r="AB570" s="3">
        <v>24.287969946595958</v>
      </c>
    </row>
    <row r="571" spans="28:28" x14ac:dyDescent="0.3">
      <c r="AB571" s="3">
        <v>26.566012338904621</v>
      </c>
    </row>
    <row r="572" spans="28:28" x14ac:dyDescent="0.3">
      <c r="AB572" s="3">
        <v>25.137289955362718</v>
      </c>
    </row>
    <row r="573" spans="28:28" x14ac:dyDescent="0.3">
      <c r="AB573" s="3">
        <v>23.559766873784291</v>
      </c>
    </row>
    <row r="574" spans="28:28" x14ac:dyDescent="0.3">
      <c r="AB574" s="3">
        <v>18.982118906464919</v>
      </c>
    </row>
    <row r="575" spans="28:28" x14ac:dyDescent="0.3">
      <c r="AB575" s="3">
        <v>21.000448513125619</v>
      </c>
    </row>
    <row r="576" spans="28:28" x14ac:dyDescent="0.3">
      <c r="AB576" s="3">
        <v>21.068303400251065</v>
      </c>
    </row>
    <row r="577" spans="28:28" x14ac:dyDescent="0.3">
      <c r="AB577" s="3">
        <v>18.501841408031854</v>
      </c>
    </row>
    <row r="578" spans="28:28" x14ac:dyDescent="0.3">
      <c r="AB578" s="3">
        <v>23.642010644819592</v>
      </c>
    </row>
    <row r="579" spans="28:28" x14ac:dyDescent="0.3">
      <c r="AB579" s="3">
        <v>22.198542657653405</v>
      </c>
    </row>
    <row r="580" spans="28:28" x14ac:dyDescent="0.3">
      <c r="AB580" s="3">
        <v>20.774049327556938</v>
      </c>
    </row>
    <row r="581" spans="28:28" x14ac:dyDescent="0.3">
      <c r="AB581" s="3">
        <v>22.73840347951262</v>
      </c>
    </row>
    <row r="582" spans="28:28" x14ac:dyDescent="0.3">
      <c r="AB582" s="3">
        <v>22.123704182372805</v>
      </c>
    </row>
    <row r="583" spans="28:28" x14ac:dyDescent="0.3">
      <c r="AB583" s="3">
        <v>22.512119970874384</v>
      </c>
    </row>
    <row r="584" spans="28:28" x14ac:dyDescent="0.3">
      <c r="AB584" s="3">
        <v>21.106031271309686</v>
      </c>
    </row>
    <row r="585" spans="28:28" x14ac:dyDescent="0.3">
      <c r="AB585" s="3">
        <v>19.411758215872617</v>
      </c>
    </row>
    <row r="586" spans="28:28" x14ac:dyDescent="0.3">
      <c r="AB586" s="3">
        <v>18.458559085026153</v>
      </c>
    </row>
    <row r="587" spans="28:28" x14ac:dyDescent="0.3">
      <c r="AB587" s="3">
        <v>20.544140165278201</v>
      </c>
    </row>
    <row r="588" spans="28:28" x14ac:dyDescent="0.3">
      <c r="AB588" s="3">
        <v>22.250977964177054</v>
      </c>
    </row>
    <row r="589" spans="28:28" x14ac:dyDescent="0.3">
      <c r="AB589" s="3">
        <v>22.21894751652464</v>
      </c>
    </row>
    <row r="590" spans="28:28" x14ac:dyDescent="0.3">
      <c r="AB590" s="3">
        <v>20.229807798935148</v>
      </c>
    </row>
    <row r="591" spans="28:28" x14ac:dyDescent="0.3">
      <c r="AB591" s="3">
        <v>21.284709979842951</v>
      </c>
    </row>
    <row r="592" spans="28:28" x14ac:dyDescent="0.3">
      <c r="AB592" s="3">
        <v>19.663935420332631</v>
      </c>
    </row>
    <row r="593" spans="28:28" x14ac:dyDescent="0.3">
      <c r="AB593" s="3">
        <v>17.967409255875861</v>
      </c>
    </row>
    <row r="594" spans="28:28" x14ac:dyDescent="0.3">
      <c r="AB594" s="3">
        <v>17.952464787332829</v>
      </c>
    </row>
    <row r="595" spans="28:28" x14ac:dyDescent="0.3">
      <c r="AB595" s="3">
        <v>19.940416593925779</v>
      </c>
    </row>
    <row r="596" spans="28:28" x14ac:dyDescent="0.3">
      <c r="AB596" s="3">
        <v>18.590457742661613</v>
      </c>
    </row>
    <row r="597" spans="28:28" x14ac:dyDescent="0.3">
      <c r="AB597" s="3">
        <v>18.584506505765955</v>
      </c>
    </row>
    <row r="598" spans="28:28" x14ac:dyDescent="0.3">
      <c r="AB598" s="3">
        <v>18.816531134009075</v>
      </c>
    </row>
    <row r="599" spans="28:28" x14ac:dyDescent="0.3">
      <c r="AB599" s="3">
        <v>17.811986103708961</v>
      </c>
    </row>
    <row r="600" spans="28:28" x14ac:dyDescent="0.3">
      <c r="AB600" s="3">
        <v>15.938442048357651</v>
      </c>
    </row>
    <row r="601" spans="28:28" x14ac:dyDescent="0.3">
      <c r="AB601" s="3">
        <v>17.00328595875304</v>
      </c>
    </row>
    <row r="602" spans="28:28" x14ac:dyDescent="0.3">
      <c r="AB602" s="3">
        <v>17.709186088429661</v>
      </c>
    </row>
    <row r="603" spans="28:28" x14ac:dyDescent="0.3">
      <c r="AB603" s="3">
        <v>17.039079093959554</v>
      </c>
    </row>
    <row r="604" spans="28:28" x14ac:dyDescent="0.3">
      <c r="AB604" s="3">
        <v>17.319048890197944</v>
      </c>
    </row>
    <row r="605" spans="28:28" x14ac:dyDescent="0.3">
      <c r="AB605" s="3">
        <v>15.129016298513463</v>
      </c>
    </row>
    <row r="606" spans="28:28" x14ac:dyDescent="0.3">
      <c r="AB606" s="3">
        <v>15.246014370619093</v>
      </c>
    </row>
    <row r="607" spans="28:28" x14ac:dyDescent="0.3">
      <c r="AB607" s="3">
        <v>15.25498302630541</v>
      </c>
    </row>
    <row r="608" spans="28:28" x14ac:dyDescent="0.3">
      <c r="AB608" s="3">
        <v>15.395938859822973</v>
      </c>
    </row>
    <row r="609" spans="28:28" x14ac:dyDescent="0.3">
      <c r="AB609" s="3">
        <v>15.504908875639053</v>
      </c>
    </row>
    <row r="610" spans="28:28" x14ac:dyDescent="0.3">
      <c r="AB610" s="3">
        <v>15.484849234161292</v>
      </c>
    </row>
    <row r="611" spans="28:28" x14ac:dyDescent="0.3">
      <c r="AB611" s="3">
        <v>15.48476389245015</v>
      </c>
    </row>
    <row r="612" spans="28:28" x14ac:dyDescent="0.3">
      <c r="AB612" s="3">
        <v>16.27267620106781</v>
      </c>
    </row>
    <row r="613" spans="28:28" x14ac:dyDescent="0.3">
      <c r="AB613" s="3">
        <v>15.025606092124297</v>
      </c>
    </row>
    <row r="614" spans="28:28" x14ac:dyDescent="0.3">
      <c r="AB614" s="3">
        <v>15.152495696145996</v>
      </c>
    </row>
    <row r="615" spans="28:28" x14ac:dyDescent="0.3">
      <c r="AB615" s="3">
        <v>13.883251524380983</v>
      </c>
    </row>
    <row r="616" spans="28:28" x14ac:dyDescent="0.3">
      <c r="AB616" s="3">
        <v>13.935987506271648</v>
      </c>
    </row>
    <row r="617" spans="28:28" x14ac:dyDescent="0.3">
      <c r="AB617" s="3">
        <v>15.475740959626624</v>
      </c>
    </row>
    <row r="618" spans="28:28" x14ac:dyDescent="0.3">
      <c r="AB618" s="3">
        <v>17.585238309592764</v>
      </c>
    </row>
    <row r="619" spans="28:28" x14ac:dyDescent="0.3">
      <c r="AB619" s="3">
        <v>17.416998024114022</v>
      </c>
    </row>
    <row r="620" spans="28:28" x14ac:dyDescent="0.3">
      <c r="AB620" s="3">
        <v>20.463955105912671</v>
      </c>
    </row>
    <row r="621" spans="28:28" x14ac:dyDescent="0.3">
      <c r="AB621" s="3">
        <v>21.109634213781931</v>
      </c>
    </row>
    <row r="622" spans="28:28" x14ac:dyDescent="0.3">
      <c r="AB622" s="3">
        <v>22.906322340735979</v>
      </c>
    </row>
    <row r="623" spans="28:28" x14ac:dyDescent="0.3">
      <c r="AB623" s="3">
        <v>23.245833248641681</v>
      </c>
    </row>
    <row r="624" spans="28:28" x14ac:dyDescent="0.3">
      <c r="AB624" s="3">
        <v>21.327945655461143</v>
      </c>
    </row>
    <row r="625" spans="28:28" x14ac:dyDescent="0.3">
      <c r="AB625" s="3">
        <v>20.632994425614189</v>
      </c>
    </row>
    <row r="626" spans="28:28" x14ac:dyDescent="0.3">
      <c r="AB626" s="3">
        <v>21.207917568657169</v>
      </c>
    </row>
    <row r="627" spans="28:28" x14ac:dyDescent="0.3">
      <c r="AB627" s="3">
        <v>18.209448806614635</v>
      </c>
    </row>
    <row r="628" spans="28:28" x14ac:dyDescent="0.3">
      <c r="AB628" s="3">
        <v>18.77625680691018</v>
      </c>
    </row>
    <row r="629" spans="28:28" x14ac:dyDescent="0.3">
      <c r="AB629" s="3">
        <v>19.993119339776506</v>
      </c>
    </row>
    <row r="630" spans="28:28" x14ac:dyDescent="0.3">
      <c r="AB630" s="3">
        <v>24.016498570469995</v>
      </c>
    </row>
    <row r="631" spans="28:28" x14ac:dyDescent="0.3">
      <c r="AB631" s="3">
        <v>23.994459356202139</v>
      </c>
    </row>
    <row r="632" spans="28:28" x14ac:dyDescent="0.3">
      <c r="AB632" s="3">
        <v>24.755351791376061</v>
      </c>
    </row>
    <row r="633" spans="28:28" x14ac:dyDescent="0.3">
      <c r="AB633" s="3">
        <v>22.299267266714811</v>
      </c>
    </row>
    <row r="634" spans="28:28" x14ac:dyDescent="0.3">
      <c r="AB634" s="3">
        <v>21.624162509272928</v>
      </c>
    </row>
    <row r="635" spans="28:28" x14ac:dyDescent="0.3">
      <c r="AB635" s="3">
        <v>21.779176901652573</v>
      </c>
    </row>
    <row r="636" spans="28:28" x14ac:dyDescent="0.3">
      <c r="AB636" s="3">
        <v>21.496098991184802</v>
      </c>
    </row>
    <row r="637" spans="28:28" x14ac:dyDescent="0.3">
      <c r="AB637" s="3">
        <v>23.503841591451415</v>
      </c>
    </row>
    <row r="638" spans="28:28" x14ac:dyDescent="0.3">
      <c r="AB638" s="3">
        <v>22.51872090457103</v>
      </c>
    </row>
    <row r="639" spans="28:28" x14ac:dyDescent="0.3">
      <c r="AB639" s="3">
        <v>21.638527588894807</v>
      </c>
    </row>
    <row r="640" spans="28:28" x14ac:dyDescent="0.3">
      <c r="AB640" s="3">
        <v>21.736480299771866</v>
      </c>
    </row>
    <row r="641" spans="28:28" x14ac:dyDescent="0.3">
      <c r="AB641" s="3">
        <v>20.27888891591267</v>
      </c>
    </row>
    <row r="642" spans="28:28" x14ac:dyDescent="0.3">
      <c r="AB642" s="3">
        <v>19.465451927895518</v>
      </c>
    </row>
    <row r="643" spans="28:28" x14ac:dyDescent="0.3">
      <c r="AB643" s="3">
        <v>21.796312521052794</v>
      </c>
    </row>
    <row r="644" spans="28:28" x14ac:dyDescent="0.3">
      <c r="AB644" s="3">
        <v>20.85109003616326</v>
      </c>
    </row>
    <row r="645" spans="28:28" x14ac:dyDescent="0.3">
      <c r="AB645" s="3">
        <v>20.674099227397711</v>
      </c>
    </row>
    <row r="646" spans="28:28" x14ac:dyDescent="0.3">
      <c r="AB646" s="3">
        <v>20.415095844935571</v>
      </c>
    </row>
    <row r="647" spans="28:28" x14ac:dyDescent="0.3">
      <c r="AB647" s="3">
        <v>19.065998395302628</v>
      </c>
    </row>
    <row r="648" spans="28:28" x14ac:dyDescent="0.3">
      <c r="AB648" s="3">
        <v>18.4230143448783</v>
      </c>
    </row>
    <row r="649" spans="28:28" x14ac:dyDescent="0.3">
      <c r="AB649" s="3">
        <v>20.32918458973441</v>
      </c>
    </row>
    <row r="650" spans="28:28" x14ac:dyDescent="0.3">
      <c r="AB650" s="3">
        <v>20.392329158882674</v>
      </c>
    </row>
    <row r="651" spans="28:28" x14ac:dyDescent="0.3">
      <c r="AB651" s="3">
        <v>18.775466997907881</v>
      </c>
    </row>
    <row r="652" spans="28:28" x14ac:dyDescent="0.3">
      <c r="AB652" s="3">
        <v>18.800626904196815</v>
      </c>
    </row>
    <row r="653" spans="28:28" x14ac:dyDescent="0.3">
      <c r="AB653" s="3">
        <v>19.908706994160728</v>
      </c>
    </row>
    <row r="654" spans="28:28" x14ac:dyDescent="0.3">
      <c r="AB654" s="3">
        <v>19.907790169468004</v>
      </c>
    </row>
    <row r="655" spans="28:28" x14ac:dyDescent="0.3">
      <c r="AB655" s="3">
        <v>19.907869278638181</v>
      </c>
    </row>
    <row r="656" spans="28:28" x14ac:dyDescent="0.3">
      <c r="AB656" s="3">
        <v>18.737951877917592</v>
      </c>
    </row>
    <row r="657" spans="28:28" x14ac:dyDescent="0.3">
      <c r="AB657" s="3">
        <v>18.698035513842491</v>
      </c>
    </row>
    <row r="658" spans="28:28" x14ac:dyDescent="0.3">
      <c r="AB658" s="3">
        <v>17.577086361624211</v>
      </c>
    </row>
    <row r="659" spans="28:28" x14ac:dyDescent="0.3">
      <c r="AB659" s="3">
        <v>17.61313479528151</v>
      </c>
    </row>
    <row r="660" spans="28:28" x14ac:dyDescent="0.3">
      <c r="AB660" s="3">
        <v>17.661198255562649</v>
      </c>
    </row>
    <row r="661" spans="28:28" x14ac:dyDescent="0.3">
      <c r="AB661" s="3">
        <v>17.789229313079826</v>
      </c>
    </row>
    <row r="662" spans="28:28" x14ac:dyDescent="0.3">
      <c r="AB662" s="3">
        <v>17.84325896344847</v>
      </c>
    </row>
    <row r="663" spans="28:28" x14ac:dyDescent="0.3">
      <c r="AB663" s="3">
        <v>15.586300402200708</v>
      </c>
    </row>
    <row r="664" spans="28:28" x14ac:dyDescent="0.3">
      <c r="AB664" s="3">
        <v>15.303161781557124</v>
      </c>
    </row>
    <row r="665" spans="28:28" x14ac:dyDescent="0.3">
      <c r="AB665" s="3">
        <v>15.116024399999203</v>
      </c>
    </row>
    <row r="666" spans="28:28" x14ac:dyDescent="0.3">
      <c r="AB666" s="3">
        <v>15.111843475413043</v>
      </c>
    </row>
    <row r="667" spans="28:28" x14ac:dyDescent="0.3">
      <c r="AB667" s="3">
        <v>15.492644414306183</v>
      </c>
    </row>
    <row r="668" spans="28:28" x14ac:dyDescent="0.3">
      <c r="AB668" s="3">
        <v>15.338379795911182</v>
      </c>
    </row>
    <row r="669" spans="28:28" x14ac:dyDescent="0.3">
      <c r="AB669" s="3">
        <v>15.291094058560994</v>
      </c>
    </row>
    <row r="670" spans="28:28" x14ac:dyDescent="0.3">
      <c r="AB670" s="3">
        <v>15.270811128941681</v>
      </c>
    </row>
    <row r="671" spans="28:28" x14ac:dyDescent="0.3">
      <c r="AB671" s="3">
        <v>15.519512293795891</v>
      </c>
    </row>
    <row r="672" spans="28:28" x14ac:dyDescent="0.3">
      <c r="AB672" s="3">
        <v>16.23789294156979</v>
      </c>
    </row>
    <row r="673" spans="28:28" x14ac:dyDescent="0.3">
      <c r="AB673" s="3">
        <v>16.874238461499768</v>
      </c>
    </row>
    <row r="674" spans="28:28" x14ac:dyDescent="0.3">
      <c r="AB674" s="3">
        <v>15.445607703579309</v>
      </c>
    </row>
    <row r="675" spans="28:28" x14ac:dyDescent="0.3">
      <c r="AB675" s="3">
        <v>13.940084049069434</v>
      </c>
    </row>
    <row r="676" spans="28:28" x14ac:dyDescent="0.3">
      <c r="AB676" s="3">
        <v>15.960093069277077</v>
      </c>
    </row>
    <row r="677" spans="28:28" x14ac:dyDescent="0.3">
      <c r="AB677" s="3">
        <v>15.812087558926844</v>
      </c>
    </row>
    <row r="678" spans="28:28" x14ac:dyDescent="0.3">
      <c r="AB678" s="3">
        <v>15.691124329221052</v>
      </c>
    </row>
    <row r="679" spans="28:28" x14ac:dyDescent="0.3">
      <c r="AB679" s="3">
        <v>15.546151217350438</v>
      </c>
    </row>
    <row r="680" spans="28:28" x14ac:dyDescent="0.3">
      <c r="AB680" s="3">
        <v>15.886181646943484</v>
      </c>
    </row>
    <row r="681" spans="28:28" x14ac:dyDescent="0.3">
      <c r="AB681" s="3">
        <v>15.546159650258577</v>
      </c>
    </row>
    <row r="682" spans="28:28" x14ac:dyDescent="0.3">
      <c r="AB682" s="3">
        <v>15.546164730864719</v>
      </c>
    </row>
    <row r="683" spans="28:28" x14ac:dyDescent="0.3">
      <c r="AB683" s="3">
        <v>15.646168877075336</v>
      </c>
    </row>
    <row r="684" spans="28:28" x14ac:dyDescent="0.3">
      <c r="AB684" s="3">
        <v>15.65518383746938</v>
      </c>
    </row>
    <row r="685" spans="28:28" x14ac:dyDescent="0.3">
      <c r="AB685" s="3">
        <v>15.503183911332352</v>
      </c>
    </row>
    <row r="686" spans="28:28" x14ac:dyDescent="0.3">
      <c r="AB686" s="3">
        <v>14.502180927014921</v>
      </c>
    </row>
    <row r="687" spans="28:28" x14ac:dyDescent="0.3">
      <c r="AB687" s="3">
        <v>16.388643804306991</v>
      </c>
    </row>
    <row r="688" spans="28:28" x14ac:dyDescent="0.3">
      <c r="AB688" s="3">
        <v>15.669644639050905</v>
      </c>
    </row>
    <row r="689" spans="28:28" x14ac:dyDescent="0.3">
      <c r="AB689" s="3">
        <v>14.324247661319887</v>
      </c>
    </row>
    <row r="690" spans="28:28" x14ac:dyDescent="0.3">
      <c r="AB690" s="3">
        <v>14.2522490973837</v>
      </c>
    </row>
    <row r="691" spans="28:28" x14ac:dyDescent="0.3">
      <c r="AB691" s="3">
        <v>14.270215604830609</v>
      </c>
    </row>
    <row r="692" spans="28:28" x14ac:dyDescent="0.3">
      <c r="AB692" s="3">
        <v>14.426188906051166</v>
      </c>
    </row>
    <row r="693" spans="28:28" x14ac:dyDescent="0.3">
      <c r="AB693" s="3">
        <v>14.57716129226929</v>
      </c>
    </row>
    <row r="694" spans="28:28" x14ac:dyDescent="0.3">
      <c r="AB694" s="3">
        <v>14.831133479627363</v>
      </c>
    </row>
    <row r="695" spans="28:28" x14ac:dyDescent="0.3">
      <c r="AB695" s="3">
        <v>14.922115233236758</v>
      </c>
    </row>
    <row r="696" spans="28:28" x14ac:dyDescent="0.3">
      <c r="AB696" s="3">
        <v>17.054057906222447</v>
      </c>
    </row>
    <row r="697" spans="28:28" x14ac:dyDescent="0.3">
      <c r="AB697" s="3">
        <v>17.127025358873951</v>
      </c>
    </row>
    <row r="698" spans="28:28" x14ac:dyDescent="0.3">
      <c r="AB698" s="3">
        <v>16.891028265555764</v>
      </c>
    </row>
    <row r="699" spans="28:28" x14ac:dyDescent="0.3">
      <c r="AB699" s="3">
        <v>16.891022940958326</v>
      </c>
    </row>
    <row r="700" spans="28:28" x14ac:dyDescent="0.3">
      <c r="AB700" s="3">
        <v>20.428752383049432</v>
      </c>
    </row>
    <row r="701" spans="28:28" x14ac:dyDescent="0.3">
      <c r="AB701" s="3">
        <v>19.040185852169341</v>
      </c>
    </row>
    <row r="702" spans="28:28" x14ac:dyDescent="0.3">
      <c r="AB702" s="3">
        <v>20.301225648384374</v>
      </c>
    </row>
    <row r="703" spans="28:28" x14ac:dyDescent="0.3">
      <c r="AB703" s="3">
        <v>20.635256623851493</v>
      </c>
    </row>
    <row r="704" spans="28:28" x14ac:dyDescent="0.3">
      <c r="AB704" s="3">
        <v>24.357878439682139</v>
      </c>
    </row>
    <row r="705" spans="28:28" x14ac:dyDescent="0.3">
      <c r="AB705" s="3">
        <v>23.038971392528111</v>
      </c>
    </row>
    <row r="706" spans="28:28" x14ac:dyDescent="0.3">
      <c r="AB706" s="3">
        <v>22.446969911027562</v>
      </c>
    </row>
    <row r="707" spans="28:28" x14ac:dyDescent="0.3">
      <c r="AB707" s="3">
        <v>22.601041110789495</v>
      </c>
    </row>
    <row r="708" spans="28:28" x14ac:dyDescent="0.3">
      <c r="AB708" s="3">
        <v>23.996603730190735</v>
      </c>
    </row>
    <row r="709" spans="28:28" x14ac:dyDescent="0.3">
      <c r="AB709" s="3">
        <v>23.818660400235519</v>
      </c>
    </row>
    <row r="710" spans="28:28" x14ac:dyDescent="0.3">
      <c r="AB710" s="3">
        <v>23.838721002454868</v>
      </c>
    </row>
    <row r="711" spans="28:28" x14ac:dyDescent="0.3">
      <c r="AB711" s="3">
        <v>26.076772646274705</v>
      </c>
    </row>
    <row r="712" spans="28:28" x14ac:dyDescent="0.3">
      <c r="AB712" s="3">
        <v>25.922792116538858</v>
      </c>
    </row>
    <row r="713" spans="28:28" x14ac:dyDescent="0.3">
      <c r="AB713" s="3">
        <v>26.10493228045668</v>
      </c>
    </row>
    <row r="714" spans="28:28" x14ac:dyDescent="0.3">
      <c r="AB714" s="3">
        <v>26.159118537013459</v>
      </c>
    </row>
    <row r="715" spans="28:28" x14ac:dyDescent="0.3">
      <c r="AB715" s="3">
        <v>23.912229377696292</v>
      </c>
    </row>
    <row r="716" spans="28:28" x14ac:dyDescent="0.3">
      <c r="AB716" s="3">
        <v>25.569281448995429</v>
      </c>
    </row>
    <row r="717" spans="28:28" x14ac:dyDescent="0.3">
      <c r="AB717" s="3">
        <v>23.689500375697644</v>
      </c>
    </row>
    <row r="718" spans="28:28" x14ac:dyDescent="0.3">
      <c r="AB718" s="3">
        <v>23.58969591107277</v>
      </c>
    </row>
    <row r="719" spans="28:28" x14ac:dyDescent="0.3">
      <c r="AB719" s="3">
        <v>22.995410519209308</v>
      </c>
    </row>
    <row r="720" spans="28:28" x14ac:dyDescent="0.3">
      <c r="AB720" s="3">
        <v>22.547394546144325</v>
      </c>
    </row>
    <row r="721" spans="28:28" x14ac:dyDescent="0.3">
      <c r="AB721" s="3">
        <v>20.447717244263366</v>
      </c>
    </row>
    <row r="722" spans="28:28" x14ac:dyDescent="0.3">
      <c r="AB722" s="3">
        <v>17.842049091930569</v>
      </c>
    </row>
    <row r="723" spans="28:28" x14ac:dyDescent="0.3">
      <c r="AB723" s="3">
        <v>16.424237403258598</v>
      </c>
    </row>
    <row r="724" spans="28:28" x14ac:dyDescent="0.3">
      <c r="AB724" s="3">
        <v>16.434419584756927</v>
      </c>
    </row>
    <row r="725" spans="28:28" x14ac:dyDescent="0.3">
      <c r="AB725" s="3">
        <v>18.214586463593054</v>
      </c>
    </row>
    <row r="726" spans="28:28" x14ac:dyDescent="0.3">
      <c r="AB726" s="3">
        <v>20.309119771380367</v>
      </c>
    </row>
    <row r="727" spans="28:28" x14ac:dyDescent="0.3">
      <c r="AB727" s="3">
        <v>20.65316417746925</v>
      </c>
    </row>
    <row r="728" spans="28:28" x14ac:dyDescent="0.3">
      <c r="AB728" s="3">
        <v>19.131727295043042</v>
      </c>
    </row>
    <row r="729" spans="28:28" x14ac:dyDescent="0.3">
      <c r="AB729" s="3">
        <v>18.469100235752489</v>
      </c>
    </row>
    <row r="730" spans="28:28" x14ac:dyDescent="0.3">
      <c r="AB730" s="3">
        <v>18.354025529711961</v>
      </c>
    </row>
    <row r="731" spans="28:28" x14ac:dyDescent="0.3">
      <c r="AB731" s="3">
        <v>16.417799570140168</v>
      </c>
    </row>
    <row r="732" spans="28:28" x14ac:dyDescent="0.3">
      <c r="AB732" s="3">
        <v>16.444764163717682</v>
      </c>
    </row>
    <row r="733" spans="28:28" x14ac:dyDescent="0.3">
      <c r="AB733" s="3">
        <v>16.404730686469509</v>
      </c>
    </row>
    <row r="734" spans="28:28" x14ac:dyDescent="0.3">
      <c r="AB734" s="3">
        <v>16.282880417250272</v>
      </c>
    </row>
    <row r="735" spans="28:28" x14ac:dyDescent="0.3">
      <c r="AB735" s="3">
        <v>14.44214788766365</v>
      </c>
    </row>
    <row r="736" spans="28:28" x14ac:dyDescent="0.3">
      <c r="AB736" s="3">
        <v>14.62311434695804</v>
      </c>
    </row>
    <row r="737" spans="28:28" x14ac:dyDescent="0.3">
      <c r="AB737" s="3">
        <v>16.537890077812857</v>
      </c>
    </row>
    <row r="738" spans="28:28" x14ac:dyDescent="0.3">
      <c r="AB738" s="3">
        <v>16.379872312977362</v>
      </c>
    </row>
    <row r="739" spans="28:28" x14ac:dyDescent="0.3">
      <c r="AB739" s="3">
        <v>16.752842064643929</v>
      </c>
    </row>
    <row r="740" spans="28:28" x14ac:dyDescent="0.3">
      <c r="AB740" s="3">
        <v>17.092796936159367</v>
      </c>
    </row>
    <row r="741" spans="28:28" x14ac:dyDescent="0.3">
      <c r="AB741" s="3">
        <v>20.72093290178449</v>
      </c>
    </row>
    <row r="742" spans="28:28" x14ac:dyDescent="0.3">
      <c r="AB742" s="3">
        <v>19.43106919234032</v>
      </c>
    </row>
    <row r="743" spans="28:28" x14ac:dyDescent="0.3">
      <c r="AB743" s="3">
        <v>18.548920855107745</v>
      </c>
    </row>
    <row r="744" spans="28:28" x14ac:dyDescent="0.3">
      <c r="AB744" s="3">
        <v>20.48279855302971</v>
      </c>
    </row>
    <row r="745" spans="28:28" x14ac:dyDescent="0.3">
      <c r="AB745" s="3">
        <v>20.166947955237752</v>
      </c>
    </row>
    <row r="746" spans="28:28" x14ac:dyDescent="0.3">
      <c r="AB746" s="3">
        <v>18.2616672881874</v>
      </c>
    </row>
    <row r="747" spans="28:28" x14ac:dyDescent="0.3">
      <c r="AB747" s="3">
        <v>17.01574349729275</v>
      </c>
    </row>
    <row r="748" spans="28:28" x14ac:dyDescent="0.3">
      <c r="AB748" s="3">
        <v>15.966816391637259</v>
      </c>
    </row>
    <row r="749" spans="28:28" x14ac:dyDescent="0.3">
      <c r="AB749" s="3">
        <v>16.072891550197692</v>
      </c>
    </row>
    <row r="750" spans="28:28" x14ac:dyDescent="0.3">
      <c r="AB750" s="3">
        <v>16.203937392204089</v>
      </c>
    </row>
    <row r="751" spans="28:28" x14ac:dyDescent="0.3">
      <c r="AB751" s="3">
        <v>19.352829639457521</v>
      </c>
    </row>
    <row r="752" spans="28:28" x14ac:dyDescent="0.3">
      <c r="AB752" s="3">
        <v>19.400878175508019</v>
      </c>
    </row>
    <row r="753" spans="28:28" x14ac:dyDescent="0.3">
      <c r="AB753" s="3">
        <v>19.578016772224078</v>
      </c>
    </row>
    <row r="754" spans="28:28" x14ac:dyDescent="0.3">
      <c r="AB754" s="3">
        <v>21.370707478401037</v>
      </c>
    </row>
    <row r="755" spans="28:28" x14ac:dyDescent="0.3">
      <c r="AB755" s="3">
        <v>20.737571612864134</v>
      </c>
    </row>
    <row r="756" spans="28:28" x14ac:dyDescent="0.3">
      <c r="AB756" s="3">
        <v>19.717397631358214</v>
      </c>
    </row>
    <row r="757" spans="28:28" x14ac:dyDescent="0.3">
      <c r="AB757" s="3">
        <v>21.737032713932862</v>
      </c>
    </row>
    <row r="758" spans="28:28" x14ac:dyDescent="0.3">
      <c r="AB758" s="3">
        <v>19.050803173375115</v>
      </c>
    </row>
    <row r="759" spans="28:28" x14ac:dyDescent="0.3">
      <c r="AB759" s="3">
        <v>18.234425395861301</v>
      </c>
    </row>
    <row r="760" spans="28:28" x14ac:dyDescent="0.3">
      <c r="AB760" s="3">
        <v>19.72947640379234</v>
      </c>
    </row>
    <row r="761" spans="28:28" x14ac:dyDescent="0.3">
      <c r="AB761" s="3">
        <v>19.699385182874153</v>
      </c>
    </row>
    <row r="762" spans="28:28" x14ac:dyDescent="0.3">
      <c r="AB762" s="3">
        <v>19.751278836471194</v>
      </c>
    </row>
    <row r="763" spans="28:28" x14ac:dyDescent="0.3">
      <c r="AB763" s="3">
        <v>19.149720278971987</v>
      </c>
    </row>
    <row r="764" spans="28:28" x14ac:dyDescent="0.3">
      <c r="AB764" s="3">
        <v>20.578571708459108</v>
      </c>
    </row>
    <row r="765" spans="28:28" x14ac:dyDescent="0.3">
      <c r="AB765" s="3">
        <v>18.989421022707418</v>
      </c>
    </row>
    <row r="766" spans="28:28" x14ac:dyDescent="0.3">
      <c r="AB766" s="3">
        <v>17.200358181073216</v>
      </c>
    </row>
    <row r="767" spans="28:28" x14ac:dyDescent="0.3">
      <c r="AB767" s="3">
        <v>19.380294548710435</v>
      </c>
    </row>
    <row r="768" spans="28:28" x14ac:dyDescent="0.3">
      <c r="AB768" s="3">
        <v>21.289207766374581</v>
      </c>
    </row>
    <row r="769" spans="28:28" x14ac:dyDescent="0.3">
      <c r="AB769" s="3">
        <v>21.540124048466165</v>
      </c>
    </row>
    <row r="770" spans="28:28" x14ac:dyDescent="0.3">
      <c r="AB770" s="3">
        <v>20.541202959827604</v>
      </c>
    </row>
    <row r="771" spans="28:28" x14ac:dyDescent="0.3">
      <c r="AB771" s="3">
        <v>21.243907930325157</v>
      </c>
    </row>
    <row r="772" spans="28:28" x14ac:dyDescent="0.3">
      <c r="AB772" s="3">
        <v>18.206310787967997</v>
      </c>
    </row>
    <row r="773" spans="28:28" x14ac:dyDescent="0.3">
      <c r="AB773" s="3">
        <v>19.000486895661513</v>
      </c>
    </row>
    <row r="774" spans="28:28" x14ac:dyDescent="0.3">
      <c r="AB774" s="3">
        <v>19.115349182703454</v>
      </c>
    </row>
    <row r="775" spans="28:28" x14ac:dyDescent="0.3">
      <c r="AB775" s="3">
        <v>18.870994584493904</v>
      </c>
    </row>
    <row r="776" spans="28:28" x14ac:dyDescent="0.3">
      <c r="AB776" s="3">
        <v>18.717657282593969</v>
      </c>
    </row>
    <row r="777" spans="28:28" x14ac:dyDescent="0.3">
      <c r="AB777" s="3">
        <v>18.558331480512546</v>
      </c>
    </row>
    <row r="778" spans="28:28" x14ac:dyDescent="0.3">
      <c r="AB778" s="3">
        <v>18.887033796081937</v>
      </c>
    </row>
    <row r="779" spans="28:28" x14ac:dyDescent="0.3">
      <c r="AB779" s="3">
        <v>20.078738818078641</v>
      </c>
    </row>
    <row r="780" spans="28:28" x14ac:dyDescent="0.3">
      <c r="AB780" s="3">
        <v>23.879337016273816</v>
      </c>
    </row>
    <row r="781" spans="28:28" x14ac:dyDescent="0.3">
      <c r="AB781" s="3">
        <v>21.446648578344892</v>
      </c>
    </row>
    <row r="782" spans="28:28" x14ac:dyDescent="0.3">
      <c r="AB782" s="3">
        <v>19.700847169383849</v>
      </c>
    </row>
    <row r="783" spans="28:28" x14ac:dyDescent="0.3">
      <c r="AB783" s="3">
        <v>19.709634494351526</v>
      </c>
    </row>
    <row r="784" spans="28:28" x14ac:dyDescent="0.3">
      <c r="AB784" s="3">
        <v>19.995427713893328</v>
      </c>
    </row>
    <row r="785" spans="28:28" x14ac:dyDescent="0.3">
      <c r="AB785" s="3">
        <v>19.101499559205081</v>
      </c>
    </row>
    <row r="786" spans="28:28" x14ac:dyDescent="0.3">
      <c r="AB786" s="3">
        <v>17.524326885175668</v>
      </c>
    </row>
    <row r="787" spans="28:28" x14ac:dyDescent="0.3">
      <c r="AB787" s="3">
        <v>17.33814843075702</v>
      </c>
    </row>
    <row r="788" spans="28:28" x14ac:dyDescent="0.3">
      <c r="AB788" s="3">
        <v>18.619958194269653</v>
      </c>
    </row>
    <row r="789" spans="28:28" x14ac:dyDescent="0.3">
      <c r="AB789" s="3">
        <v>20.581120094277615</v>
      </c>
    </row>
    <row r="790" spans="28:28" x14ac:dyDescent="0.3">
      <c r="AB790" s="3">
        <v>20.250945751807542</v>
      </c>
    </row>
    <row r="791" spans="28:28" x14ac:dyDescent="0.3">
      <c r="AB791" s="3">
        <v>19.288592469893356</v>
      </c>
    </row>
    <row r="792" spans="28:28" x14ac:dyDescent="0.3">
      <c r="AB792" s="3">
        <v>18.178327684259461</v>
      </c>
    </row>
    <row r="793" spans="28:28" x14ac:dyDescent="0.3">
      <c r="AB793" s="3">
        <v>19.393399183256591</v>
      </c>
    </row>
    <row r="794" spans="28:28" x14ac:dyDescent="0.3">
      <c r="AB794" s="3">
        <v>19.443067452822199</v>
      </c>
    </row>
    <row r="795" spans="28:28" x14ac:dyDescent="0.3">
      <c r="AB795" s="3">
        <v>21.380744903321197</v>
      </c>
    </row>
    <row r="796" spans="28:28" x14ac:dyDescent="0.3">
      <c r="AB796" s="3">
        <v>19.130853310138335</v>
      </c>
    </row>
    <row r="797" spans="28:28" x14ac:dyDescent="0.3">
      <c r="AB797" s="3">
        <v>19.435499248450533</v>
      </c>
    </row>
    <row r="798" spans="28:28" x14ac:dyDescent="0.3">
      <c r="AB798" s="3">
        <v>18.1872033082184</v>
      </c>
    </row>
    <row r="799" spans="28:28" x14ac:dyDescent="0.3">
      <c r="AB799" s="3">
        <v>17.700917095751326</v>
      </c>
    </row>
    <row r="800" spans="28:28" x14ac:dyDescent="0.3">
      <c r="AB800" s="3">
        <v>17.78365384845678</v>
      </c>
    </row>
    <row r="801" spans="28:28" x14ac:dyDescent="0.3">
      <c r="AB801" s="3">
        <v>17.135396572176365</v>
      </c>
    </row>
    <row r="802" spans="28:28" x14ac:dyDescent="0.3">
      <c r="AB802" s="3">
        <v>19.120862232036714</v>
      </c>
    </row>
    <row r="803" spans="28:28" x14ac:dyDescent="0.3">
      <c r="AB803" s="3">
        <v>21.262986070488878</v>
      </c>
    </row>
    <row r="804" spans="28:28" x14ac:dyDescent="0.3">
      <c r="AB804" s="3">
        <v>21.406748226238193</v>
      </c>
    </row>
    <row r="805" spans="28:28" x14ac:dyDescent="0.3">
      <c r="AB805" s="3">
        <v>20.47702983709468</v>
      </c>
    </row>
    <row r="806" spans="28:28" x14ac:dyDescent="0.3">
      <c r="AB806" s="3">
        <v>19.743407523003352</v>
      </c>
    </row>
    <row r="807" spans="28:28" x14ac:dyDescent="0.3">
      <c r="AB807" s="3">
        <v>19.86115908506725</v>
      </c>
    </row>
    <row r="808" spans="28:28" x14ac:dyDescent="0.3">
      <c r="AB808" s="3">
        <v>22.0357704492659</v>
      </c>
    </row>
    <row r="809" spans="28:28" x14ac:dyDescent="0.3">
      <c r="AB809" s="3">
        <v>22.828351731840733</v>
      </c>
    </row>
    <row r="810" spans="28:28" x14ac:dyDescent="0.3">
      <c r="AB810" s="3">
        <v>23.447125942601431</v>
      </c>
    </row>
    <row r="811" spans="28:28" x14ac:dyDescent="0.3">
      <c r="AB811" s="3">
        <v>25.518388384212479</v>
      </c>
    </row>
    <row r="812" spans="28:28" x14ac:dyDescent="0.3">
      <c r="AB812" s="3">
        <v>25.51491392946911</v>
      </c>
    </row>
    <row r="813" spans="28:28" x14ac:dyDescent="0.3">
      <c r="AB813" s="3">
        <v>26.596805396635485</v>
      </c>
    </row>
    <row r="814" spans="28:28" x14ac:dyDescent="0.3">
      <c r="AB814" s="3">
        <v>25.776682500398149</v>
      </c>
    </row>
    <row r="815" spans="28:28" x14ac:dyDescent="0.3">
      <c r="AB815" s="3">
        <v>25.993557427366849</v>
      </c>
    </row>
    <row r="816" spans="28:28" x14ac:dyDescent="0.3">
      <c r="AB816" s="3">
        <v>22.994923264308081</v>
      </c>
    </row>
    <row r="817" spans="28:28" x14ac:dyDescent="0.3">
      <c r="AB817" s="3">
        <v>22.244135314754665</v>
      </c>
    </row>
    <row r="818" spans="28:28" x14ac:dyDescent="0.3">
      <c r="AB818" s="3">
        <v>23.972032743860208</v>
      </c>
    </row>
    <row r="819" spans="28:28" x14ac:dyDescent="0.3">
      <c r="AB819" s="3">
        <v>28.155934473174316</v>
      </c>
    </row>
    <row r="820" spans="28:28" x14ac:dyDescent="0.3">
      <c r="AB820" s="3">
        <v>28.033955417949763</v>
      </c>
    </row>
    <row r="821" spans="28:28" x14ac:dyDescent="0.3">
      <c r="AB821" s="3">
        <v>28.225973466159612</v>
      </c>
    </row>
    <row r="822" spans="28:28" x14ac:dyDescent="0.3">
      <c r="AB822" s="3">
        <v>29.13432889601037</v>
      </c>
    </row>
    <row r="823" spans="28:28" x14ac:dyDescent="0.3">
      <c r="AB823" s="3">
        <v>26.904535770898747</v>
      </c>
    </row>
    <row r="824" spans="28:28" x14ac:dyDescent="0.3">
      <c r="AB824" s="3">
        <v>26.162975560865949</v>
      </c>
    </row>
    <row r="825" spans="28:28" x14ac:dyDescent="0.3">
      <c r="AB825" s="3">
        <v>28.671969218622511</v>
      </c>
    </row>
    <row r="826" spans="28:28" x14ac:dyDescent="0.3">
      <c r="AB826" s="3">
        <v>27.664067872001262</v>
      </c>
    </row>
    <row r="827" spans="28:28" x14ac:dyDescent="0.3">
      <c r="AB827" s="3">
        <v>27.138866267565827</v>
      </c>
    </row>
    <row r="828" spans="28:28" x14ac:dyDescent="0.3">
      <c r="AB828" s="3">
        <v>27.27784555957258</v>
      </c>
    </row>
    <row r="829" spans="28:28" x14ac:dyDescent="0.3">
      <c r="AB829" s="3">
        <v>27.139820545702609</v>
      </c>
    </row>
    <row r="830" spans="28:28" x14ac:dyDescent="0.3">
      <c r="AB830" s="3">
        <v>26.080797328149583</v>
      </c>
    </row>
    <row r="831" spans="28:28" x14ac:dyDescent="0.3">
      <c r="AB831" s="3">
        <v>24.235783057483271</v>
      </c>
    </row>
    <row r="832" spans="28:28" x14ac:dyDescent="0.3">
      <c r="AB832" s="3">
        <v>24.072743666381374</v>
      </c>
    </row>
    <row r="833" spans="28:28" x14ac:dyDescent="0.3">
      <c r="AB833" s="3">
        <v>23.783586167319854</v>
      </c>
    </row>
    <row r="834" spans="28:28" x14ac:dyDescent="0.3">
      <c r="AB834" s="3">
        <v>23.803437187731493</v>
      </c>
    </row>
    <row r="835" spans="28:28" x14ac:dyDescent="0.3">
      <c r="AB835" s="3">
        <v>23.887291609219847</v>
      </c>
    </row>
    <row r="836" spans="28:28" x14ac:dyDescent="0.3">
      <c r="AB836" s="3">
        <v>23.778156308408505</v>
      </c>
    </row>
    <row r="837" spans="28:28" x14ac:dyDescent="0.3">
      <c r="AB837" s="3">
        <v>22.506251578463697</v>
      </c>
    </row>
    <row r="838" spans="28:28" x14ac:dyDescent="0.3">
      <c r="AB838" s="3">
        <v>22.426339934752072</v>
      </c>
    </row>
    <row r="839" spans="28:28" x14ac:dyDescent="0.3">
      <c r="AB839" s="3">
        <v>20.418491440633595</v>
      </c>
    </row>
    <row r="840" spans="28:28" x14ac:dyDescent="0.3">
      <c r="AB840" s="3">
        <v>22.402731669823336</v>
      </c>
    </row>
    <row r="841" spans="28:28" x14ac:dyDescent="0.3">
      <c r="AB841" s="3">
        <v>22.020881850411474</v>
      </c>
    </row>
    <row r="842" spans="28:28" x14ac:dyDescent="0.3">
      <c r="AB842" s="3">
        <v>20.81727141313366</v>
      </c>
    </row>
    <row r="843" spans="28:28" x14ac:dyDescent="0.3">
      <c r="AB843" s="3">
        <v>20.736358342641871</v>
      </c>
    </row>
    <row r="844" spans="28:28" x14ac:dyDescent="0.3">
      <c r="AB844" s="3">
        <v>20.59044554524618</v>
      </c>
    </row>
    <row r="845" spans="28:28" x14ac:dyDescent="0.3">
      <c r="AB845" s="3">
        <v>22.65552001359266</v>
      </c>
    </row>
    <row r="846" spans="28:28" x14ac:dyDescent="0.3">
      <c r="AB846" s="3">
        <v>22.688099761077257</v>
      </c>
    </row>
    <row r="847" spans="28:28" x14ac:dyDescent="0.3">
      <c r="AB847" s="3">
        <v>21.955104320978229</v>
      </c>
    </row>
    <row r="848" spans="28:28" x14ac:dyDescent="0.3">
      <c r="AB848" s="3">
        <v>21.930936560279235</v>
      </c>
    </row>
    <row r="849" spans="28:28" x14ac:dyDescent="0.3">
      <c r="AB849" s="3">
        <v>22.097049815452856</v>
      </c>
    </row>
    <row r="850" spans="28:28" x14ac:dyDescent="0.3">
      <c r="AB850" s="3">
        <v>23.982479104488377</v>
      </c>
    </row>
    <row r="851" spans="28:28" x14ac:dyDescent="0.3">
      <c r="AB851" s="3">
        <v>23.611380158359374</v>
      </c>
    </row>
    <row r="852" spans="28:28" x14ac:dyDescent="0.3">
      <c r="AB852" s="3">
        <v>26.254923143524497</v>
      </c>
    </row>
    <row r="853" spans="28:28" x14ac:dyDescent="0.3">
      <c r="AB853" s="3">
        <v>25.025064579183141</v>
      </c>
    </row>
    <row r="854" spans="28:28" x14ac:dyDescent="0.3">
      <c r="AB854" s="3">
        <v>25.071200341282339</v>
      </c>
    </row>
    <row r="855" spans="28:28" x14ac:dyDescent="0.3">
      <c r="AB855" s="3">
        <v>24.251212515576608</v>
      </c>
    </row>
    <row r="856" spans="28:28" x14ac:dyDescent="0.3">
      <c r="AB856" s="3">
        <v>24.468247557919991</v>
      </c>
    </row>
    <row r="857" spans="28:28" x14ac:dyDescent="0.3">
      <c r="AB857" s="3">
        <v>23.598449039152943</v>
      </c>
    </row>
    <row r="858" spans="28:28" x14ac:dyDescent="0.3">
      <c r="AB858" s="3">
        <v>22.34457229650604</v>
      </c>
    </row>
    <row r="859" spans="28:28" x14ac:dyDescent="0.3">
      <c r="AB859" s="3">
        <v>24.35163075475598</v>
      </c>
    </row>
    <row r="860" spans="28:28" x14ac:dyDescent="0.3">
      <c r="AB860" s="3">
        <v>24.301672030274624</v>
      </c>
    </row>
    <row r="861" spans="28:28" x14ac:dyDescent="0.3">
      <c r="AB861" s="3">
        <v>24.800384418776755</v>
      </c>
    </row>
    <row r="862" spans="28:28" x14ac:dyDescent="0.3">
      <c r="AB862" s="3">
        <v>24.150949752166124</v>
      </c>
    </row>
    <row r="863" spans="28:28" x14ac:dyDescent="0.3">
      <c r="AB863" s="3">
        <v>24.997783956622253</v>
      </c>
    </row>
    <row r="864" spans="28:28" x14ac:dyDescent="0.3">
      <c r="AB864" s="3">
        <v>22.460828529482622</v>
      </c>
    </row>
    <row r="865" spans="28:28" x14ac:dyDescent="0.3">
      <c r="AB865" s="3">
        <v>22.110030052653794</v>
      </c>
    </row>
    <row r="866" spans="28:28" x14ac:dyDescent="0.3">
      <c r="AB866" s="3">
        <v>19.829018913074005</v>
      </c>
    </row>
    <row r="867" spans="28:28" x14ac:dyDescent="0.3">
      <c r="AB867" s="3">
        <v>19.721995351382365</v>
      </c>
    </row>
    <row r="868" spans="28:28" x14ac:dyDescent="0.3">
      <c r="AB868" s="3">
        <v>19.711148949647654</v>
      </c>
    </row>
    <row r="869" spans="28:28" x14ac:dyDescent="0.3">
      <c r="AB869" s="3">
        <v>19.628055712955625</v>
      </c>
    </row>
    <row r="870" spans="28:28" x14ac:dyDescent="0.3">
      <c r="AB870" s="3">
        <v>15.708236822510134</v>
      </c>
    </row>
    <row r="871" spans="28:28" x14ac:dyDescent="0.3">
      <c r="AB871" s="3">
        <v>15.873164585070624</v>
      </c>
    </row>
    <row r="872" spans="28:28" x14ac:dyDescent="0.3">
      <c r="AB872" s="3">
        <v>15.988303340586992</v>
      </c>
    </row>
    <row r="873" spans="28:28" x14ac:dyDescent="0.3">
      <c r="AB873" s="3">
        <v>15.847429550655669</v>
      </c>
    </row>
    <row r="874" spans="28:28" x14ac:dyDescent="0.3">
      <c r="AB874" s="3">
        <v>15.402577261981868</v>
      </c>
    </row>
    <row r="875" spans="28:28" x14ac:dyDescent="0.3">
      <c r="AB875" s="3">
        <v>14.357680817851769</v>
      </c>
    </row>
    <row r="876" spans="28:28" x14ac:dyDescent="0.3">
      <c r="AB876" s="3">
        <v>14.337321532222278</v>
      </c>
    </row>
    <row r="877" spans="28:28" x14ac:dyDescent="0.3">
      <c r="AB877" s="3">
        <v>16.639911023159012</v>
      </c>
    </row>
    <row r="878" spans="28:28" x14ac:dyDescent="0.3">
      <c r="AB878" s="3">
        <v>13.510679908110266</v>
      </c>
    </row>
    <row r="879" spans="28:28" x14ac:dyDescent="0.3">
      <c r="AB879" s="3">
        <v>13.513680925101657</v>
      </c>
    </row>
    <row r="880" spans="28:28" x14ac:dyDescent="0.3">
      <c r="AB880" s="3">
        <v>13.266655366375696</v>
      </c>
    </row>
    <row r="881" spans="28:28" x14ac:dyDescent="0.3">
      <c r="AB881" s="3">
        <v>13.127619530465312</v>
      </c>
    </row>
    <row r="882" spans="28:28" x14ac:dyDescent="0.3">
      <c r="AB882" s="3">
        <v>13.117570064769826</v>
      </c>
    </row>
    <row r="883" spans="28:28" x14ac:dyDescent="0.3">
      <c r="AB883" s="3">
        <v>11.010193572118705</v>
      </c>
    </row>
    <row r="884" spans="28:28" x14ac:dyDescent="0.3">
      <c r="AB884" s="3">
        <v>10.96504877128978</v>
      </c>
    </row>
    <row r="885" spans="28:28" x14ac:dyDescent="0.3">
      <c r="AB885" s="3">
        <v>10.826844493414612</v>
      </c>
    </row>
    <row r="886" spans="28:28" x14ac:dyDescent="0.3">
      <c r="AB886" s="3">
        <v>10.950455091052797</v>
      </c>
    </row>
    <row r="887" spans="28:28" x14ac:dyDescent="0.3">
      <c r="AB887" s="3">
        <v>11.039153138422218</v>
      </c>
    </row>
    <row r="888" spans="28:28" x14ac:dyDescent="0.3">
      <c r="AB888" s="3">
        <v>11.337852775814005</v>
      </c>
    </row>
    <row r="889" spans="28:28" x14ac:dyDescent="0.3">
      <c r="AB889" s="3">
        <v>11.247567710726035</v>
      </c>
    </row>
    <row r="890" spans="28:28" x14ac:dyDescent="0.3">
      <c r="AB890" s="3">
        <v>14.445296161498772</v>
      </c>
    </row>
    <row r="891" spans="28:28" x14ac:dyDescent="0.3">
      <c r="AB891" s="3">
        <v>14.35798708513811</v>
      </c>
    </row>
    <row r="892" spans="28:28" x14ac:dyDescent="0.3">
      <c r="AB892" s="3">
        <v>14.245696517146893</v>
      </c>
    </row>
    <row r="893" spans="28:28" x14ac:dyDescent="0.3">
      <c r="AB893" s="3">
        <v>10.888855273383983</v>
      </c>
    </row>
    <row r="894" spans="28:28" x14ac:dyDescent="0.3">
      <c r="AB894" s="3">
        <v>10.422820359737653</v>
      </c>
    </row>
    <row r="895" spans="28:28" x14ac:dyDescent="0.3">
      <c r="AB895" s="3">
        <v>11.264892352483896</v>
      </c>
    </row>
    <row r="896" spans="28:28" x14ac:dyDescent="0.3">
      <c r="AB896" s="3">
        <v>12.475926761275488</v>
      </c>
    </row>
    <row r="897" spans="28:28" x14ac:dyDescent="0.3">
      <c r="AB897" s="3">
        <v>15.861585104802927</v>
      </c>
    </row>
    <row r="898" spans="28:28" x14ac:dyDescent="0.3">
      <c r="AB898" s="3">
        <v>15.851619127281662</v>
      </c>
    </row>
    <row r="899" spans="28:28" x14ac:dyDescent="0.3">
      <c r="AB899" s="3">
        <v>15.870754336315576</v>
      </c>
    </row>
    <row r="900" spans="28:28" x14ac:dyDescent="0.3">
      <c r="AB900" s="3">
        <v>17.399779489706333</v>
      </c>
    </row>
    <row r="901" spans="28:28" x14ac:dyDescent="0.3">
      <c r="AB901" s="3">
        <v>18.456240989834782</v>
      </c>
    </row>
    <row r="902" spans="28:28" x14ac:dyDescent="0.3">
      <c r="AB902" s="3">
        <v>19.557237866581005</v>
      </c>
    </row>
    <row r="903" spans="28:28" x14ac:dyDescent="0.3">
      <c r="AB903" s="3">
        <v>19.241081144259031</v>
      </c>
    </row>
    <row r="904" spans="28:28" x14ac:dyDescent="0.3">
      <c r="AB904" s="3">
        <v>20.201475560706275</v>
      </c>
    </row>
    <row r="905" spans="28:28" x14ac:dyDescent="0.3">
      <c r="AB905" s="3">
        <v>19.300927909578327</v>
      </c>
    </row>
    <row r="906" spans="28:28" x14ac:dyDescent="0.3">
      <c r="AB906" s="3">
        <v>17.082561943719654</v>
      </c>
    </row>
    <row r="907" spans="28:28" x14ac:dyDescent="0.3">
      <c r="AB907" s="3">
        <v>15.861818816927402</v>
      </c>
    </row>
    <row r="908" spans="28:28" x14ac:dyDescent="0.3">
      <c r="AB908" s="3">
        <v>15.73594725826133</v>
      </c>
    </row>
    <row r="909" spans="28:28" x14ac:dyDescent="0.3">
      <c r="AB909" s="3">
        <v>16.187073102704421</v>
      </c>
    </row>
    <row r="910" spans="28:28" x14ac:dyDescent="0.3">
      <c r="AB910" s="3">
        <v>15.619201170402045</v>
      </c>
    </row>
    <row r="911" spans="28:28" x14ac:dyDescent="0.3">
      <c r="AB911" s="3">
        <v>15.30535364544053</v>
      </c>
    </row>
    <row r="912" spans="28:28" x14ac:dyDescent="0.3">
      <c r="AB912" s="3">
        <v>15.69713701102213</v>
      </c>
    </row>
    <row r="913" spans="28:28" x14ac:dyDescent="0.3">
      <c r="AB913" s="3">
        <v>14.677916542489109</v>
      </c>
    </row>
    <row r="914" spans="28:28" x14ac:dyDescent="0.3">
      <c r="AB914" s="3">
        <v>16.600837120051832</v>
      </c>
    </row>
    <row r="915" spans="28:28" x14ac:dyDescent="0.3">
      <c r="AB915" s="3">
        <v>15.795197589186108</v>
      </c>
    </row>
    <row r="916" spans="28:28" x14ac:dyDescent="0.3">
      <c r="AB916" s="3">
        <v>14.642453997335124</v>
      </c>
    </row>
    <row r="917" spans="28:28" x14ac:dyDescent="0.3">
      <c r="AB917" s="3">
        <v>14.644503543675279</v>
      </c>
    </row>
    <row r="918" spans="28:28" x14ac:dyDescent="0.3">
      <c r="AB918" s="3">
        <v>14.682542217865553</v>
      </c>
    </row>
    <row r="919" spans="28:28" x14ac:dyDescent="0.3">
      <c r="AB919" s="3">
        <v>14.680588975502895</v>
      </c>
    </row>
    <row r="920" spans="28:28" x14ac:dyDescent="0.3">
      <c r="AB920" s="3">
        <v>15.1396190141462</v>
      </c>
    </row>
    <row r="921" spans="28:28" x14ac:dyDescent="0.3">
      <c r="AB921" s="3">
        <v>19.844574165010634</v>
      </c>
    </row>
    <row r="922" spans="28:28" x14ac:dyDescent="0.3">
      <c r="AB922" s="3">
        <v>20.05950743504798</v>
      </c>
    </row>
    <row r="923" spans="28:28" x14ac:dyDescent="0.3">
      <c r="AB923" s="3">
        <v>19.994611123903319</v>
      </c>
    </row>
    <row r="924" spans="28:28" x14ac:dyDescent="0.3">
      <c r="AB924" s="3">
        <v>20.013780824676509</v>
      </c>
    </row>
    <row r="925" spans="28:28" x14ac:dyDescent="0.3">
      <c r="AB925" s="3">
        <v>19.415864572289124</v>
      </c>
    </row>
    <row r="926" spans="28:28" x14ac:dyDescent="0.3">
      <c r="AB926" s="3">
        <v>19.33187167646275</v>
      </c>
    </row>
    <row r="927" spans="28:28" x14ac:dyDescent="0.3">
      <c r="AB927" s="3">
        <v>20.954289483857728</v>
      </c>
    </row>
    <row r="928" spans="28:28" x14ac:dyDescent="0.3">
      <c r="AB928" s="3">
        <v>21.07064785632317</v>
      </c>
    </row>
    <row r="929" spans="28:28" x14ac:dyDescent="0.3">
      <c r="AB929" s="3">
        <v>21.353981555533977</v>
      </c>
    </row>
    <row r="930" spans="28:28" x14ac:dyDescent="0.3">
      <c r="AB930" s="3">
        <v>20.936322903405504</v>
      </c>
    </row>
    <row r="931" spans="28:28" x14ac:dyDescent="0.3">
      <c r="AB931" s="3">
        <v>22.836200902615204</v>
      </c>
    </row>
    <row r="932" spans="28:28" x14ac:dyDescent="0.3">
      <c r="AB932" s="3">
        <v>26.969896935131093</v>
      </c>
    </row>
    <row r="933" spans="28:28" x14ac:dyDescent="0.3">
      <c r="AB933" s="3">
        <v>24.812645753126553</v>
      </c>
    </row>
    <row r="934" spans="28:28" x14ac:dyDescent="0.3">
      <c r="AB934" s="3">
        <v>24.030709048910143</v>
      </c>
    </row>
    <row r="935" spans="28:28" x14ac:dyDescent="0.3">
      <c r="AB935" s="3">
        <v>20.079608011626593</v>
      </c>
    </row>
    <row r="936" spans="28:28" x14ac:dyDescent="0.3">
      <c r="AB936" s="3">
        <v>19.736842935008159</v>
      </c>
    </row>
    <row r="937" spans="28:28" x14ac:dyDescent="0.3">
      <c r="AB937" s="3">
        <v>19.765906672887674</v>
      </c>
    </row>
    <row r="938" spans="28:28" x14ac:dyDescent="0.3">
      <c r="AB938" s="3">
        <v>19.535001728220667</v>
      </c>
    </row>
    <row r="939" spans="28:28" x14ac:dyDescent="0.3">
      <c r="AB939" s="3">
        <v>16.589117757542027</v>
      </c>
    </row>
    <row r="940" spans="28:28" x14ac:dyDescent="0.3">
      <c r="AB940" s="3">
        <v>18.41313205615678</v>
      </c>
    </row>
    <row r="941" spans="28:28" x14ac:dyDescent="0.3">
      <c r="AB941" s="3">
        <v>18.413195423767814</v>
      </c>
    </row>
    <row r="942" spans="28:28" x14ac:dyDescent="0.3">
      <c r="AB942" s="3">
        <v>16.489342738354679</v>
      </c>
    </row>
    <row r="943" spans="28:28" x14ac:dyDescent="0.3">
      <c r="AB943" s="3">
        <v>17.723495808086795</v>
      </c>
    </row>
    <row r="944" spans="28:28" x14ac:dyDescent="0.3">
      <c r="AB944" s="3">
        <v>21.454539762794628</v>
      </c>
    </row>
    <row r="945" spans="28:28" x14ac:dyDescent="0.3">
      <c r="AB945" s="3">
        <v>25.579238499151312</v>
      </c>
    </row>
    <row r="946" spans="28:28" x14ac:dyDescent="0.3">
      <c r="AB946" s="3">
        <v>23.62189339724473</v>
      </c>
    </row>
    <row r="947" spans="28:28" x14ac:dyDescent="0.3">
      <c r="AB947" s="3">
        <v>22.572105474595087</v>
      </c>
    </row>
    <row r="948" spans="28:28" x14ac:dyDescent="0.3">
      <c r="AB948" s="3">
        <v>22.881334215902054</v>
      </c>
    </row>
    <row r="949" spans="28:28" x14ac:dyDescent="0.3">
      <c r="AB949" s="3">
        <v>22.893552666244126</v>
      </c>
    </row>
    <row r="950" spans="28:28" x14ac:dyDescent="0.3">
      <c r="AB950" s="3">
        <v>20.935726140767837</v>
      </c>
    </row>
    <row r="951" spans="28:28" x14ac:dyDescent="0.3">
      <c r="AB951" s="3">
        <v>17.982722727593156</v>
      </c>
    </row>
    <row r="952" spans="28:28" x14ac:dyDescent="0.3">
      <c r="AB952" s="3">
        <v>19.030508163194089</v>
      </c>
    </row>
    <row r="953" spans="28:28" x14ac:dyDescent="0.3">
      <c r="AB953" s="3">
        <v>16.593765746669828</v>
      </c>
    </row>
    <row r="954" spans="28:28" x14ac:dyDescent="0.3">
      <c r="AB954" s="3">
        <v>18.831679940372013</v>
      </c>
    </row>
    <row r="955" spans="28:28" x14ac:dyDescent="0.3">
      <c r="AB955" s="3">
        <v>20.434323662413625</v>
      </c>
    </row>
    <row r="956" spans="28:28" x14ac:dyDescent="0.3">
      <c r="AB956" s="3">
        <v>20.485227004878695</v>
      </c>
    </row>
    <row r="957" spans="28:28" x14ac:dyDescent="0.3">
      <c r="AB957" s="3">
        <v>20.255140940153336</v>
      </c>
    </row>
    <row r="958" spans="28:28" x14ac:dyDescent="0.3">
      <c r="AB958" s="3">
        <v>27.184361315509282</v>
      </c>
    </row>
    <row r="959" spans="28:28" x14ac:dyDescent="0.3">
      <c r="AB959" s="3">
        <v>23.67752820561142</v>
      </c>
    </row>
    <row r="960" spans="28:28" x14ac:dyDescent="0.3">
      <c r="AB960" s="3">
        <v>23.36020778896409</v>
      </c>
    </row>
    <row r="961" spans="28:28" x14ac:dyDescent="0.3">
      <c r="AB961" s="3">
        <v>21.668413241836376</v>
      </c>
    </row>
    <row r="962" spans="28:28" x14ac:dyDescent="0.3">
      <c r="AB962" s="3">
        <v>18.567887692851592</v>
      </c>
    </row>
    <row r="963" spans="28:28" x14ac:dyDescent="0.3">
      <c r="AB963" s="3">
        <v>22.637691865014435</v>
      </c>
    </row>
    <row r="964" spans="28:28" x14ac:dyDescent="0.3">
      <c r="AB964" s="3">
        <v>22.137935686148118</v>
      </c>
    </row>
    <row r="965" spans="28:28" x14ac:dyDescent="0.3">
      <c r="AB965" s="3">
        <v>24.325668147019421</v>
      </c>
    </row>
    <row r="966" spans="28:28" x14ac:dyDescent="0.3">
      <c r="AB966" s="3">
        <v>21.492920322494658</v>
      </c>
    </row>
    <row r="967" spans="28:28" x14ac:dyDescent="0.3">
      <c r="AB967" s="3">
        <v>25.745725831619225</v>
      </c>
    </row>
    <row r="968" spans="28:28" x14ac:dyDescent="0.3">
      <c r="AB968" s="3">
        <v>25.271321469611994</v>
      </c>
    </row>
    <row r="969" spans="28:28" x14ac:dyDescent="0.3">
      <c r="AB969" s="3">
        <v>22.445517711694873</v>
      </c>
    </row>
    <row r="970" spans="28:28" x14ac:dyDescent="0.3">
      <c r="AB970" s="3">
        <v>24.272960123809074</v>
      </c>
    </row>
    <row r="971" spans="28:28" x14ac:dyDescent="0.3">
      <c r="AB971" s="3">
        <v>23.390418512149125</v>
      </c>
    </row>
    <row r="972" spans="28:28" x14ac:dyDescent="0.3">
      <c r="AB972" s="3">
        <v>24.935352467701662</v>
      </c>
    </row>
    <row r="973" spans="28:28" x14ac:dyDescent="0.3">
      <c r="AB973" s="3">
        <v>26.148245936056387</v>
      </c>
    </row>
    <row r="974" spans="28:28" x14ac:dyDescent="0.3">
      <c r="AB974" s="3">
        <v>25.4946858782539</v>
      </c>
    </row>
    <row r="975" spans="28:28" x14ac:dyDescent="0.3">
      <c r="AB975" s="3">
        <v>22.606419963628419</v>
      </c>
    </row>
    <row r="976" spans="28:28" x14ac:dyDescent="0.3">
      <c r="AB976" s="3">
        <v>24.845590310320887</v>
      </c>
    </row>
    <row r="977" spans="28:28" x14ac:dyDescent="0.3">
      <c r="AB977" s="3">
        <v>28.622678726651497</v>
      </c>
    </row>
    <row r="978" spans="28:28" x14ac:dyDescent="0.3">
      <c r="AB978" s="3">
        <v>28.774596794756533</v>
      </c>
    </row>
    <row r="979" spans="28:28" x14ac:dyDescent="0.3">
      <c r="AB979" s="3">
        <v>30.72675892367813</v>
      </c>
    </row>
    <row r="980" spans="28:28" x14ac:dyDescent="0.3">
      <c r="AB980" s="3">
        <v>27.17194521921779</v>
      </c>
    </row>
    <row r="981" spans="28:28" x14ac:dyDescent="0.3">
      <c r="AB981" s="3">
        <v>29.375060110767905</v>
      </c>
    </row>
    <row r="982" spans="28:28" x14ac:dyDescent="0.3">
      <c r="AB982" s="3">
        <v>29.256997216115252</v>
      </c>
    </row>
    <row r="983" spans="28:28" x14ac:dyDescent="0.3">
      <c r="AB983" s="3">
        <v>30.766498684387923</v>
      </c>
    </row>
    <row r="984" spans="28:28" x14ac:dyDescent="0.3">
      <c r="AB984" s="3">
        <v>29.132467247295772</v>
      </c>
    </row>
    <row r="985" spans="28:28" x14ac:dyDescent="0.3">
      <c r="AB985" s="3">
        <v>29.963761550016848</v>
      </c>
    </row>
    <row r="986" spans="28:28" x14ac:dyDescent="0.3">
      <c r="AB986" s="3">
        <v>24.56599967720906</v>
      </c>
    </row>
    <row r="987" spans="28:28" x14ac:dyDescent="0.3">
      <c r="AB987" s="3">
        <v>24.506119154534609</v>
      </c>
    </row>
    <row r="988" spans="28:28" x14ac:dyDescent="0.3">
      <c r="AB988" s="3">
        <v>24.506234021977164</v>
      </c>
    </row>
    <row r="989" spans="28:28" x14ac:dyDescent="0.3">
      <c r="AB989" s="3">
        <v>26.643852494552043</v>
      </c>
    </row>
    <row r="990" spans="28:28" x14ac:dyDescent="0.3">
      <c r="AB990" s="3">
        <v>26.786053228142617</v>
      </c>
    </row>
    <row r="991" spans="28:28" x14ac:dyDescent="0.3">
      <c r="AB991" s="3">
        <v>26.673245936323184</v>
      </c>
    </row>
    <row r="992" spans="28:28" x14ac:dyDescent="0.3">
      <c r="AB992" s="3">
        <v>26.6204318756227</v>
      </c>
    </row>
    <row r="993" spans="28:28" x14ac:dyDescent="0.3">
      <c r="AB993" s="3">
        <v>28.763604449441537</v>
      </c>
    </row>
    <row r="994" spans="28:28" x14ac:dyDescent="0.3">
      <c r="AB994" s="3">
        <v>27.982107545590274</v>
      </c>
    </row>
    <row r="995" spans="28:28" x14ac:dyDescent="0.3">
      <c r="AB995" s="3">
        <v>30.622993264193845</v>
      </c>
    </row>
    <row r="996" spans="28:28" x14ac:dyDescent="0.3">
      <c r="AB996" s="3">
        <v>29.360194562135103</v>
      </c>
    </row>
    <row r="997" spans="28:28" x14ac:dyDescent="0.3">
      <c r="AB997" s="3">
        <v>29.818096156651521</v>
      </c>
    </row>
    <row r="998" spans="28:28" x14ac:dyDescent="0.3">
      <c r="AB998" s="3">
        <v>33.251100006733033</v>
      </c>
    </row>
    <row r="999" spans="28:28" x14ac:dyDescent="0.3">
      <c r="AB999" s="3">
        <v>32.563774038953561</v>
      </c>
    </row>
    <row r="1000" spans="28:28" x14ac:dyDescent="0.3">
      <c r="AB1000" s="3">
        <v>30.273056450006248</v>
      </c>
    </row>
    <row r="1001" spans="28:28" x14ac:dyDescent="0.3">
      <c r="AB1001" s="3">
        <v>30.273440907733836</v>
      </c>
    </row>
    <row r="1002" spans="28:28" x14ac:dyDescent="0.3">
      <c r="AB1002" s="3">
        <v>30.401830666754663</v>
      </c>
    </row>
    <row r="1003" spans="28:28" x14ac:dyDescent="0.3">
      <c r="AB1003" s="3">
        <v>34.417420707340959</v>
      </c>
    </row>
    <row r="1004" spans="28:28" x14ac:dyDescent="0.3">
      <c r="AB1004" s="3">
        <v>36.370062162315463</v>
      </c>
    </row>
    <row r="1005" spans="28:28" x14ac:dyDescent="0.3">
      <c r="AB1005" s="3">
        <v>35.717396209423939</v>
      </c>
    </row>
    <row r="1006" spans="28:28" x14ac:dyDescent="0.3">
      <c r="AB1006" s="3">
        <v>35.590160127409376</v>
      </c>
    </row>
    <row r="1007" spans="28:28" x14ac:dyDescent="0.3">
      <c r="AB1007" s="3">
        <v>34.794956387992428</v>
      </c>
    </row>
    <row r="1008" spans="28:28" x14ac:dyDescent="0.3">
      <c r="AB1008" s="3">
        <v>35.358153304090408</v>
      </c>
    </row>
    <row r="1009" spans="28:28" x14ac:dyDescent="0.3">
      <c r="AB1009" s="3">
        <v>37.396446972013599</v>
      </c>
    </row>
    <row r="1010" spans="28:28" x14ac:dyDescent="0.3">
      <c r="AB1010" s="3">
        <v>35.783769239566162</v>
      </c>
    </row>
    <row r="1011" spans="28:28" x14ac:dyDescent="0.3">
      <c r="AB1011" s="3">
        <v>31.49306128677317</v>
      </c>
    </row>
    <row r="1012" spans="28:28" x14ac:dyDescent="0.3">
      <c r="AB1012" s="3">
        <v>34.170156465421613</v>
      </c>
    </row>
    <row r="1013" spans="28:28" x14ac:dyDescent="0.3">
      <c r="AB1013" s="3">
        <v>34.177177276209754</v>
      </c>
    </row>
    <row r="1014" spans="28:28" x14ac:dyDescent="0.3">
      <c r="AB1014" s="3">
        <v>30.319520932456641</v>
      </c>
    </row>
    <row r="1015" spans="28:28" x14ac:dyDescent="0.3">
      <c r="AB1015" s="3">
        <v>30.343281325526323</v>
      </c>
    </row>
    <row r="1016" spans="28:28" x14ac:dyDescent="0.3">
      <c r="AB1016" s="3">
        <v>29.969174064087358</v>
      </c>
    </row>
    <row r="1017" spans="28:28" x14ac:dyDescent="0.3">
      <c r="AB1017" s="3">
        <v>31.10533908819248</v>
      </c>
    </row>
    <row r="1018" spans="28:28" x14ac:dyDescent="0.3">
      <c r="AB1018" s="3">
        <v>28.822399026814534</v>
      </c>
    </row>
    <row r="1019" spans="28:28" x14ac:dyDescent="0.3">
      <c r="AB1019" s="3">
        <v>26.110490079665261</v>
      </c>
    </row>
    <row r="1020" spans="28:28" x14ac:dyDescent="0.3">
      <c r="AB1020" s="3">
        <v>26.137410891330909</v>
      </c>
    </row>
    <row r="1021" spans="28:28" x14ac:dyDescent="0.3">
      <c r="AB1021" s="3">
        <v>26.614238829226249</v>
      </c>
    </row>
    <row r="1022" spans="28:28" x14ac:dyDescent="0.3">
      <c r="AB1022" s="3">
        <v>21.240512887842716</v>
      </c>
    </row>
    <row r="1023" spans="28:28" x14ac:dyDescent="0.3">
      <c r="AB1023" s="3">
        <v>20.203357799058608</v>
      </c>
    </row>
    <row r="1024" spans="28:28" x14ac:dyDescent="0.3">
      <c r="AB1024" s="3">
        <v>21.045756484752769</v>
      </c>
    </row>
    <row r="1025" spans="28:28" x14ac:dyDescent="0.3">
      <c r="AB1025" s="3">
        <v>22.480785457092054</v>
      </c>
    </row>
    <row r="1026" spans="28:28" x14ac:dyDescent="0.3">
      <c r="AB1026" s="3">
        <v>22.399796877303245</v>
      </c>
    </row>
    <row r="1027" spans="28:28" x14ac:dyDescent="0.3">
      <c r="AB1027" s="3">
        <v>20.396065067631579</v>
      </c>
    </row>
    <row r="1028" spans="28:28" x14ac:dyDescent="0.3">
      <c r="AB1028" s="3">
        <v>19.731432179249879</v>
      </c>
    </row>
    <row r="1029" spans="28:28" x14ac:dyDescent="0.3">
      <c r="AB1029" s="3">
        <v>24.7737458136775</v>
      </c>
    </row>
    <row r="1030" spans="28:28" x14ac:dyDescent="0.3">
      <c r="AB1030" s="3">
        <v>32.68063555363721</v>
      </c>
    </row>
    <row r="1031" spans="28:28" x14ac:dyDescent="0.3">
      <c r="AB1031" s="3">
        <v>29.498549962462821</v>
      </c>
    </row>
    <row r="1032" spans="28:28" x14ac:dyDescent="0.3">
      <c r="AB1032" s="3">
        <v>24.330672990754337</v>
      </c>
    </row>
    <row r="1033" spans="28:28" x14ac:dyDescent="0.3">
      <c r="AB1033" s="3">
        <v>22.900345478234495</v>
      </c>
    </row>
    <row r="1034" spans="28:28" x14ac:dyDescent="0.3">
      <c r="AB1034" s="3">
        <v>22.466227822589069</v>
      </c>
    </row>
    <row r="1035" spans="28:28" x14ac:dyDescent="0.3">
      <c r="AB1035" s="3">
        <v>23.423742918078787</v>
      </c>
    </row>
    <row r="1036" spans="28:28" x14ac:dyDescent="0.3">
      <c r="AB1036" s="3">
        <v>23.590333001140639</v>
      </c>
    </row>
    <row r="1037" spans="28:28" x14ac:dyDescent="0.3">
      <c r="AB1037" s="3">
        <v>22.441269326808509</v>
      </c>
    </row>
    <row r="1038" spans="28:28" x14ac:dyDescent="0.3">
      <c r="AB1038" s="3">
        <v>24.944907163722441</v>
      </c>
    </row>
    <row r="1039" spans="28:28" x14ac:dyDescent="0.3">
      <c r="AB1039" s="3">
        <v>26.927977642761665</v>
      </c>
    </row>
    <row r="1040" spans="28:28" x14ac:dyDescent="0.3">
      <c r="AB1040" s="3">
        <v>26.914030046356711</v>
      </c>
    </row>
    <row r="1041" spans="28:28" x14ac:dyDescent="0.3">
      <c r="AB1041" s="3">
        <v>29.364003242076453</v>
      </c>
    </row>
    <row r="1042" spans="28:28" x14ac:dyDescent="0.3">
      <c r="AB1042" s="3">
        <v>28.348177196772109</v>
      </c>
    </row>
    <row r="1043" spans="28:28" x14ac:dyDescent="0.3">
      <c r="AB1043" s="3">
        <v>29.833701191407219</v>
      </c>
    </row>
    <row r="1044" spans="28:28" x14ac:dyDescent="0.3">
      <c r="AB1044" s="3">
        <v>26.374378363084261</v>
      </c>
    </row>
    <row r="1045" spans="28:28" x14ac:dyDescent="0.3">
      <c r="AB1045" s="3">
        <v>27.380907756560138</v>
      </c>
    </row>
    <row r="1046" spans="28:28" x14ac:dyDescent="0.3">
      <c r="AB1046" s="3">
        <v>28.806992373984993</v>
      </c>
    </row>
    <row r="1047" spans="28:28" x14ac:dyDescent="0.3">
      <c r="AB1047" s="3">
        <v>28.654065143659899</v>
      </c>
    </row>
    <row r="1048" spans="28:28" x14ac:dyDescent="0.3">
      <c r="AB1048" s="3">
        <v>30.675764753730697</v>
      </c>
    </row>
    <row r="1049" spans="28:28" x14ac:dyDescent="0.3">
      <c r="AB1049" s="3">
        <v>30.893847217416134</v>
      </c>
    </row>
    <row r="1050" spans="28:28" x14ac:dyDescent="0.3">
      <c r="AB1050" s="3">
        <v>30.613505110304118</v>
      </c>
    </row>
    <row r="1051" spans="28:28" x14ac:dyDescent="0.3">
      <c r="AB1051" s="3">
        <v>27.313724940439172</v>
      </c>
    </row>
    <row r="1052" spans="28:28" x14ac:dyDescent="0.3">
      <c r="AB1052" s="3">
        <v>27.347790748547403</v>
      </c>
    </row>
    <row r="1053" spans="28:28" x14ac:dyDescent="0.3">
      <c r="AB1053" s="3">
        <v>29.238772599929806</v>
      </c>
    </row>
    <row r="1054" spans="28:28" x14ac:dyDescent="0.3">
      <c r="AB1054" s="3">
        <v>27.8744205081315</v>
      </c>
    </row>
    <row r="1055" spans="28:28" x14ac:dyDescent="0.3">
      <c r="AB1055" s="3">
        <v>26.963132027130193</v>
      </c>
    </row>
    <row r="1056" spans="28:28" x14ac:dyDescent="0.3">
      <c r="AB1056" s="3">
        <v>26.129209014692563</v>
      </c>
    </row>
    <row r="1057" spans="28:28" x14ac:dyDescent="0.3">
      <c r="AB1057" s="3">
        <v>26.065251612396974</v>
      </c>
    </row>
    <row r="1058" spans="28:28" x14ac:dyDescent="0.3">
      <c r="AB1058" s="3">
        <v>26.651523118273783</v>
      </c>
    </row>
    <row r="1059" spans="28:28" x14ac:dyDescent="0.3">
      <c r="AB1059" s="3">
        <v>23.029315703329974</v>
      </c>
    </row>
    <row r="1060" spans="28:28" x14ac:dyDescent="0.3">
      <c r="AB1060" s="3">
        <v>22.348216023113661</v>
      </c>
    </row>
    <row r="1061" spans="28:28" x14ac:dyDescent="0.3">
      <c r="AB1061" s="3">
        <v>22.366404722581919</v>
      </c>
    </row>
    <row r="1062" spans="28:28" x14ac:dyDescent="0.3">
      <c r="AB1062" s="3">
        <v>24.686175679316534</v>
      </c>
    </row>
    <row r="1063" spans="28:28" x14ac:dyDescent="0.3">
      <c r="AB1063" s="3">
        <v>21.018347713525923</v>
      </c>
    </row>
    <row r="1064" spans="28:28" x14ac:dyDescent="0.3">
      <c r="AB1064" s="3">
        <v>22.220507984206481</v>
      </c>
    </row>
    <row r="1065" spans="28:28" x14ac:dyDescent="0.3">
      <c r="AB1065" s="3">
        <v>23.769638276014867</v>
      </c>
    </row>
    <row r="1066" spans="28:28" x14ac:dyDescent="0.3">
      <c r="AB1066" s="3">
        <v>25.591138090825964</v>
      </c>
    </row>
    <row r="1067" spans="28:28" x14ac:dyDescent="0.3">
      <c r="AB1067" s="3">
        <v>22.954132338457086</v>
      </c>
    </row>
    <row r="1068" spans="28:28" x14ac:dyDescent="0.3">
      <c r="AB1068" s="3">
        <v>26.920687123769941</v>
      </c>
    </row>
    <row r="1069" spans="28:28" x14ac:dyDescent="0.3">
      <c r="AB1069" s="3">
        <v>26.067948361097546</v>
      </c>
    </row>
    <row r="1070" spans="28:28" x14ac:dyDescent="0.3">
      <c r="AB1070" s="3">
        <v>28.121457275506568</v>
      </c>
    </row>
    <row r="1071" spans="28:28" x14ac:dyDescent="0.3">
      <c r="AB1071" s="3">
        <v>24.273798319981459</v>
      </c>
    </row>
    <row r="1072" spans="28:28" x14ac:dyDescent="0.3">
      <c r="AB1072" s="3">
        <v>21.993589898846899</v>
      </c>
    </row>
    <row r="1073" spans="28:28" x14ac:dyDescent="0.3">
      <c r="AB1073" s="3">
        <v>25.344186651330585</v>
      </c>
    </row>
    <row r="1074" spans="28:28" x14ac:dyDescent="0.3">
      <c r="AB1074" s="3">
        <v>25.280218310621837</v>
      </c>
    </row>
    <row r="1075" spans="28:28" x14ac:dyDescent="0.3">
      <c r="AB1075" s="3">
        <v>24.74648934190779</v>
      </c>
    </row>
    <row r="1076" spans="28:28" x14ac:dyDescent="0.3">
      <c r="AB1076" s="3">
        <v>23.342594287224706</v>
      </c>
    </row>
    <row r="1077" spans="28:28" x14ac:dyDescent="0.3">
      <c r="AB1077" s="3">
        <v>24.573780547284983</v>
      </c>
    </row>
    <row r="1078" spans="28:28" x14ac:dyDescent="0.3">
      <c r="AB1078" s="3">
        <v>26.375023759648357</v>
      </c>
    </row>
    <row r="1079" spans="28:28" x14ac:dyDescent="0.3">
      <c r="AB1079" s="3">
        <v>29.536841153541818</v>
      </c>
    </row>
    <row r="1080" spans="28:28" x14ac:dyDescent="0.3">
      <c r="AB1080" s="3">
        <v>27.365281725772046</v>
      </c>
    </row>
    <row r="1081" spans="28:28" x14ac:dyDescent="0.3">
      <c r="AB1081" s="3">
        <v>23.75512600589083</v>
      </c>
    </row>
    <row r="1082" spans="28:28" x14ac:dyDescent="0.3">
      <c r="AB1082" s="3">
        <v>25.800855178597534</v>
      </c>
    </row>
    <row r="1083" spans="28:28" x14ac:dyDescent="0.3">
      <c r="AB1083" s="3">
        <v>25.762128302815402</v>
      </c>
    </row>
    <row r="1084" spans="28:28" x14ac:dyDescent="0.3">
      <c r="AB1084" s="3">
        <v>33.424969304541548</v>
      </c>
    </row>
    <row r="1085" spans="28:28" x14ac:dyDescent="0.3">
      <c r="AB1085" s="3">
        <v>32.389151130529953</v>
      </c>
    </row>
    <row r="1086" spans="28:28" x14ac:dyDescent="0.3">
      <c r="AB1086" s="3">
        <v>32.454359146435486</v>
      </c>
    </row>
    <row r="1087" spans="28:28" x14ac:dyDescent="0.3">
      <c r="AB1087" s="3">
        <v>33.215619739787392</v>
      </c>
    </row>
    <row r="1088" spans="28:28" x14ac:dyDescent="0.3">
      <c r="AB1088" s="3">
        <v>33.272726641613502</v>
      </c>
    </row>
    <row r="1089" spans="28:28" x14ac:dyDescent="0.3">
      <c r="AB1089" s="3">
        <v>30.794486336246365</v>
      </c>
    </row>
    <row r="1090" spans="28:28" x14ac:dyDescent="0.3">
      <c r="AB1090" s="3">
        <v>31.232788756885103</v>
      </c>
    </row>
    <row r="1091" spans="28:28" x14ac:dyDescent="0.3">
      <c r="AB1091" s="3">
        <v>31.833157457482134</v>
      </c>
    </row>
    <row r="1092" spans="28:28" x14ac:dyDescent="0.3">
      <c r="AB1092" s="3">
        <v>31.825220328723876</v>
      </c>
    </row>
    <row r="1093" spans="28:28" x14ac:dyDescent="0.3">
      <c r="AB1093" s="3">
        <v>35.959699205819227</v>
      </c>
    </row>
    <row r="1094" spans="28:28" x14ac:dyDescent="0.3">
      <c r="AB1094" s="3">
        <v>34.515249858583104</v>
      </c>
    </row>
    <row r="1095" spans="28:28" x14ac:dyDescent="0.3">
      <c r="AB1095" s="3">
        <v>35.80519631107834</v>
      </c>
    </row>
    <row r="1096" spans="28:28" x14ac:dyDescent="0.3">
      <c r="AB1096" s="3">
        <v>37.254587645235681</v>
      </c>
    </row>
    <row r="1097" spans="28:28" x14ac:dyDescent="0.3">
      <c r="AB1097" s="3">
        <v>37.15582116535893</v>
      </c>
    </row>
    <row r="1098" spans="28:28" x14ac:dyDescent="0.3">
      <c r="AB1098" s="3">
        <v>39.138696846931005</v>
      </c>
    </row>
    <row r="1099" spans="28:28" x14ac:dyDescent="0.3">
      <c r="AB1099" s="3">
        <v>37.75089120754965</v>
      </c>
    </row>
    <row r="1100" spans="28:28" x14ac:dyDescent="0.3">
      <c r="AB1100" s="3">
        <v>37.255533381272414</v>
      </c>
    </row>
    <row r="1101" spans="28:28" x14ac:dyDescent="0.3">
      <c r="AB1101" s="3">
        <v>36.804243224288562</v>
      </c>
    </row>
    <row r="1102" spans="28:28" x14ac:dyDescent="0.3">
      <c r="AB1102" s="3">
        <v>36.837754510921499</v>
      </c>
    </row>
    <row r="1103" spans="28:28" x14ac:dyDescent="0.3">
      <c r="AB1103" s="3">
        <v>39.415823723846351</v>
      </c>
    </row>
    <row r="1104" spans="28:28" x14ac:dyDescent="0.3">
      <c r="AB1104" s="3">
        <v>40.246523260036867</v>
      </c>
    </row>
    <row r="1105" spans="28:28" x14ac:dyDescent="0.3">
      <c r="AB1105" s="3">
        <v>42.069529053309964</v>
      </c>
    </row>
    <row r="1106" spans="28:28" x14ac:dyDescent="0.3">
      <c r="AB1106" s="3">
        <v>41.115480469437649</v>
      </c>
    </row>
    <row r="1107" spans="28:28" x14ac:dyDescent="0.3">
      <c r="AB1107" s="3">
        <v>34.639721408789676</v>
      </c>
    </row>
    <row r="1108" spans="28:28" x14ac:dyDescent="0.3">
      <c r="AB1108" s="3">
        <v>35.456683636248037</v>
      </c>
    </row>
    <row r="1109" spans="28:28" x14ac:dyDescent="0.3">
      <c r="AB1109" s="3">
        <v>36.303583939275171</v>
      </c>
    </row>
    <row r="1110" spans="28:28" x14ac:dyDescent="0.3">
      <c r="AB1110" s="3">
        <v>38.13735180703609</v>
      </c>
    </row>
    <row r="1111" spans="28:28" x14ac:dyDescent="0.3">
      <c r="AB1111" s="3">
        <v>39.312238071705394</v>
      </c>
    </row>
    <row r="1112" spans="28:28" x14ac:dyDescent="0.3">
      <c r="AB1112" s="3">
        <v>37.062569219033236</v>
      </c>
    </row>
    <row r="1113" spans="28:28" x14ac:dyDescent="0.3">
      <c r="AB1113" s="3">
        <v>34.134733213178862</v>
      </c>
    </row>
    <row r="1114" spans="28:28" x14ac:dyDescent="0.3">
      <c r="AB1114" s="3">
        <v>35.874016902157216</v>
      </c>
    </row>
    <row r="1115" spans="28:28" x14ac:dyDescent="0.3">
      <c r="AB1115" s="3">
        <v>35.979123562405114</v>
      </c>
    </row>
    <row r="1116" spans="28:28" x14ac:dyDescent="0.3">
      <c r="AB1116" s="3">
        <v>37.354123906945084</v>
      </c>
    </row>
    <row r="1117" spans="28:28" x14ac:dyDescent="0.3">
      <c r="AB1117" s="3">
        <v>36.152302155510547</v>
      </c>
    </row>
    <row r="1118" spans="28:28" x14ac:dyDescent="0.3">
      <c r="AB1118" s="3">
        <v>36.427478887866819</v>
      </c>
    </row>
    <row r="1119" spans="28:28" x14ac:dyDescent="0.3">
      <c r="AB1119" s="3">
        <v>40.090666348961769</v>
      </c>
    </row>
    <row r="1120" spans="28:28" x14ac:dyDescent="0.3">
      <c r="AB1120" s="3">
        <v>35.119663250625962</v>
      </c>
    </row>
    <row r="1121" spans="28:28" x14ac:dyDescent="0.3">
      <c r="AB1121" s="3">
        <v>32.874621434268462</v>
      </c>
    </row>
    <row r="1122" spans="28:28" x14ac:dyDescent="0.3">
      <c r="AB1122" s="3">
        <v>34.816653012821071</v>
      </c>
    </row>
    <row r="1123" spans="28:28" x14ac:dyDescent="0.3">
      <c r="AB1123" s="3">
        <v>32.802667786537512</v>
      </c>
    </row>
    <row r="1124" spans="28:28" x14ac:dyDescent="0.3">
      <c r="AB1124" s="3">
        <v>30.975968232901426</v>
      </c>
    </row>
    <row r="1125" spans="28:28" x14ac:dyDescent="0.3">
      <c r="AB1125" s="3">
        <v>25.439004042136713</v>
      </c>
    </row>
    <row r="1126" spans="28:28" x14ac:dyDescent="0.3">
      <c r="AB1126" s="3">
        <v>25.708474560115238</v>
      </c>
    </row>
    <row r="1127" spans="28:28" x14ac:dyDescent="0.3">
      <c r="AB1127" s="3">
        <v>25.163517552119707</v>
      </c>
    </row>
    <row r="1128" spans="28:28" x14ac:dyDescent="0.3">
      <c r="AB1128" s="3">
        <v>26.096463378441747</v>
      </c>
    </row>
    <row r="1129" spans="28:28" x14ac:dyDescent="0.3">
      <c r="AB1129" s="3">
        <v>27.299340133924343</v>
      </c>
    </row>
    <row r="1130" spans="28:28" x14ac:dyDescent="0.3">
      <c r="AB1130" s="3">
        <v>27.367231543339521</v>
      </c>
    </row>
    <row r="1131" spans="28:28" x14ac:dyDescent="0.3">
      <c r="AB1131" s="3">
        <v>29.520030433599334</v>
      </c>
    </row>
    <row r="1132" spans="28:28" x14ac:dyDescent="0.3">
      <c r="AB1132" s="3">
        <v>32.503115067627483</v>
      </c>
    </row>
    <row r="1133" spans="28:28" x14ac:dyDescent="0.3">
      <c r="AB1133" s="3">
        <v>35.187000252027609</v>
      </c>
    </row>
    <row r="1134" spans="28:28" x14ac:dyDescent="0.3">
      <c r="AB1134" s="3">
        <v>36.955709510550882</v>
      </c>
    </row>
    <row r="1135" spans="28:28" x14ac:dyDescent="0.3">
      <c r="AB1135" s="3">
        <v>34.47663566073404</v>
      </c>
    </row>
    <row r="1136" spans="28:28" x14ac:dyDescent="0.3">
      <c r="AB1136" s="3">
        <v>35.270242738766811</v>
      </c>
    </row>
    <row r="1137" spans="28:28" x14ac:dyDescent="0.3">
      <c r="AB1137" s="3">
        <v>35.429248890057949</v>
      </c>
    </row>
    <row r="1138" spans="28:28" x14ac:dyDescent="0.3">
      <c r="AB1138" s="3">
        <v>37.311883898642037</v>
      </c>
    </row>
    <row r="1139" spans="28:28" x14ac:dyDescent="0.3">
      <c r="AB1139" s="3">
        <v>36.372660116578942</v>
      </c>
    </row>
    <row r="1140" spans="28:28" x14ac:dyDescent="0.3">
      <c r="AB1140" s="3">
        <v>40.242494417455298</v>
      </c>
    </row>
    <row r="1141" spans="28:28" x14ac:dyDescent="0.3">
      <c r="AB1141" s="3">
        <v>39.224054067383207</v>
      </c>
    </row>
    <row r="1142" spans="28:28" x14ac:dyDescent="0.3">
      <c r="AB1142" s="3">
        <v>37.79339242612356</v>
      </c>
    </row>
    <row r="1143" spans="28:28" x14ac:dyDescent="0.3">
      <c r="AB1143" s="3">
        <v>35.788599823042752</v>
      </c>
    </row>
    <row r="1144" spans="28:28" x14ac:dyDescent="0.3">
      <c r="AB1144" s="3">
        <v>35.809339269583461</v>
      </c>
    </row>
    <row r="1145" spans="28:28" x14ac:dyDescent="0.3">
      <c r="AB1145" s="3">
        <v>34.265278115913709</v>
      </c>
    </row>
    <row r="1146" spans="28:28" x14ac:dyDescent="0.3">
      <c r="AB1146" s="3">
        <v>31.078441672997869</v>
      </c>
    </row>
    <row r="1147" spans="28:28" x14ac:dyDescent="0.3">
      <c r="AB1147" s="3">
        <v>30.964476724507133</v>
      </c>
    </row>
    <row r="1148" spans="28:28" x14ac:dyDescent="0.3">
      <c r="AB1148" s="3">
        <v>29.504415635264554</v>
      </c>
    </row>
    <row r="1149" spans="28:28" x14ac:dyDescent="0.3">
      <c r="AB1149" s="3">
        <v>31.124881825701792</v>
      </c>
    </row>
    <row r="1150" spans="28:28" x14ac:dyDescent="0.3">
      <c r="AB1150" s="3">
        <v>32.612151055619073</v>
      </c>
    </row>
    <row r="1151" spans="28:28" x14ac:dyDescent="0.3">
      <c r="AB1151" s="3">
        <v>39.257217008843568</v>
      </c>
    </row>
    <row r="1152" spans="28:28" x14ac:dyDescent="0.3">
      <c r="AB1152" s="3">
        <v>40.79849549212242</v>
      </c>
    </row>
    <row r="1153" spans="28:28" x14ac:dyDescent="0.3">
      <c r="AB1153" s="3">
        <v>39.269311680006993</v>
      </c>
    </row>
    <row r="1154" spans="28:28" x14ac:dyDescent="0.3">
      <c r="AB1154" s="3">
        <v>42.671970928753105</v>
      </c>
    </row>
    <row r="1155" spans="28:28" x14ac:dyDescent="0.3">
      <c r="AB1155" s="3">
        <v>38.135822112034084</v>
      </c>
    </row>
    <row r="1156" spans="28:28" x14ac:dyDescent="0.3">
      <c r="AB1156" s="3">
        <v>38.121039456954854</v>
      </c>
    </row>
    <row r="1157" spans="28:28" x14ac:dyDescent="0.3">
      <c r="AB1157" s="3">
        <v>36.856076654023788</v>
      </c>
    </row>
    <row r="1158" spans="28:28" x14ac:dyDescent="0.3">
      <c r="AB1158" s="3">
        <v>44.963117945633286</v>
      </c>
    </row>
    <row r="1159" spans="28:28" x14ac:dyDescent="0.3">
      <c r="AB1159" s="3">
        <v>44.347362463713907</v>
      </c>
    </row>
    <row r="1160" spans="28:28" x14ac:dyDescent="0.3">
      <c r="AB1160" s="3">
        <v>43.143450507788955</v>
      </c>
    </row>
    <row r="1161" spans="28:28" x14ac:dyDescent="0.3">
      <c r="AB1161" s="3">
        <v>43.638227067545564</v>
      </c>
    </row>
    <row r="1162" spans="28:28" x14ac:dyDescent="0.3">
      <c r="AB1162" s="3">
        <v>41.755912427114161</v>
      </c>
    </row>
    <row r="1163" spans="28:28" x14ac:dyDescent="0.3">
      <c r="AB1163" s="3">
        <v>42.849986518129235</v>
      </c>
    </row>
    <row r="1164" spans="28:28" x14ac:dyDescent="0.3">
      <c r="AB1164" s="3">
        <v>43.037638481766663</v>
      </c>
    </row>
    <row r="1165" spans="28:28" x14ac:dyDescent="0.3">
      <c r="AB1165" s="3">
        <v>42.711270496705524</v>
      </c>
    </row>
    <row r="1166" spans="28:28" x14ac:dyDescent="0.3">
      <c r="AB1166" s="3">
        <v>48.165021139528783</v>
      </c>
    </row>
    <row r="1167" spans="28:28" x14ac:dyDescent="0.3">
      <c r="AB1167" s="3">
        <v>47.809995144545375</v>
      </c>
    </row>
    <row r="1168" spans="28:28" x14ac:dyDescent="0.3">
      <c r="AB1168" s="3">
        <v>44.135610805125637</v>
      </c>
    </row>
    <row r="1169" spans="28:28" x14ac:dyDescent="0.3">
      <c r="AB1169" s="3">
        <v>48.249856934584997</v>
      </c>
    </row>
    <row r="1170" spans="28:28" x14ac:dyDescent="0.3">
      <c r="AB1170" s="3">
        <v>45.078742970371046</v>
      </c>
    </row>
    <row r="1171" spans="28:28" x14ac:dyDescent="0.3">
      <c r="AB1171" s="3">
        <v>45.793776923982691</v>
      </c>
    </row>
    <row r="1172" spans="28:28" x14ac:dyDescent="0.3">
      <c r="AB1172" s="3">
        <v>45.672738660879126</v>
      </c>
    </row>
    <row r="1173" spans="28:28" x14ac:dyDescent="0.3">
      <c r="AB1173" s="3">
        <v>47.651793519040673</v>
      </c>
    </row>
    <row r="1174" spans="28:28" x14ac:dyDescent="0.3">
      <c r="AB1174" s="3">
        <v>49.557219005405351</v>
      </c>
    </row>
    <row r="1175" spans="28:28" x14ac:dyDescent="0.3">
      <c r="AB1175" s="3">
        <v>46.278820269179029</v>
      </c>
    </row>
    <row r="1176" spans="28:28" x14ac:dyDescent="0.3">
      <c r="AB1176" s="3">
        <v>47.13791254320045</v>
      </c>
    </row>
    <row r="1177" spans="28:28" x14ac:dyDescent="0.3">
      <c r="AB1177" s="3">
        <v>45.04082385890365</v>
      </c>
    </row>
    <row r="1178" spans="28:28" x14ac:dyDescent="0.3">
      <c r="AB1178" s="3">
        <v>42.690555622561995</v>
      </c>
    </row>
    <row r="1179" spans="28:28" x14ac:dyDescent="0.3">
      <c r="AB1179" s="3">
        <v>38.261553881789979</v>
      </c>
    </row>
    <row r="1180" spans="28:28" x14ac:dyDescent="0.3">
      <c r="AB1180" s="3">
        <v>39.411244303661405</v>
      </c>
    </row>
    <row r="1181" spans="28:28" x14ac:dyDescent="0.3">
      <c r="AB1181" s="3">
        <v>39.104467631704772</v>
      </c>
    </row>
    <row r="1182" spans="28:28" x14ac:dyDescent="0.3">
      <c r="AB1182" s="3">
        <v>40.343571097740544</v>
      </c>
    </row>
    <row r="1183" spans="28:28" x14ac:dyDescent="0.3">
      <c r="AB1183" s="3">
        <v>41.220800350937374</v>
      </c>
    </row>
    <row r="1184" spans="28:28" x14ac:dyDescent="0.3">
      <c r="AB1184" s="3">
        <v>40.090505014290457</v>
      </c>
    </row>
    <row r="1185" spans="28:28" x14ac:dyDescent="0.3">
      <c r="AB1185" s="3">
        <v>37.586169495025985</v>
      </c>
    </row>
    <row r="1186" spans="28:28" x14ac:dyDescent="0.3">
      <c r="AB1186" s="3">
        <v>38.854377080254281</v>
      </c>
    </row>
    <row r="1187" spans="28:28" x14ac:dyDescent="0.3">
      <c r="AB1187" s="3">
        <v>38.537952482528041</v>
      </c>
    </row>
    <row r="1188" spans="28:28" x14ac:dyDescent="0.3">
      <c r="AB1188" s="3">
        <v>36.287543425317637</v>
      </c>
    </row>
    <row r="1189" spans="28:28" x14ac:dyDescent="0.3">
      <c r="AB1189" s="3">
        <v>34.857505352260517</v>
      </c>
    </row>
    <row r="1190" spans="28:28" x14ac:dyDescent="0.3">
      <c r="AB1190" s="3">
        <v>35.966697976973215</v>
      </c>
    </row>
    <row r="1191" spans="28:28" x14ac:dyDescent="0.3">
      <c r="AB1191" s="3">
        <v>37.859626647902623</v>
      </c>
    </row>
    <row r="1192" spans="28:28" x14ac:dyDescent="0.3">
      <c r="AB1192" s="3">
        <v>40.85536833071037</v>
      </c>
    </row>
    <row r="1193" spans="28:28" x14ac:dyDescent="0.3">
      <c r="AB1193" s="3">
        <v>40.364184075815821</v>
      </c>
    </row>
    <row r="1194" spans="28:28" x14ac:dyDescent="0.3">
      <c r="AB1194" s="3">
        <v>40.666503747482686</v>
      </c>
    </row>
    <row r="1195" spans="28:28" x14ac:dyDescent="0.3">
      <c r="AB1195" s="3">
        <v>37.889562150933088</v>
      </c>
    </row>
    <row r="1196" spans="28:28" x14ac:dyDescent="0.3">
      <c r="AB1196" s="3">
        <v>37.662601001896761</v>
      </c>
    </row>
    <row r="1197" spans="28:28" x14ac:dyDescent="0.3">
      <c r="AB1197" s="3">
        <v>35.577457407617679</v>
      </c>
    </row>
    <row r="1198" spans="28:28" x14ac:dyDescent="0.3">
      <c r="AB1198" s="3">
        <v>35.542504092284709</v>
      </c>
    </row>
    <row r="1199" spans="28:28" x14ac:dyDescent="0.3">
      <c r="AB1199" s="3">
        <v>33.505266158488887</v>
      </c>
    </row>
    <row r="1200" spans="28:28" x14ac:dyDescent="0.3">
      <c r="AB1200" s="3">
        <v>32.002317632890275</v>
      </c>
    </row>
    <row r="1201" spans="28:28" x14ac:dyDescent="0.3">
      <c r="AB1201" s="3">
        <v>30.956254973300332</v>
      </c>
    </row>
    <row r="1202" spans="28:28" x14ac:dyDescent="0.3">
      <c r="AB1202" s="3">
        <v>32.999077869180446</v>
      </c>
    </row>
    <row r="1203" spans="28:28" x14ac:dyDescent="0.3">
      <c r="AB1203" s="3">
        <v>34.137677459197384</v>
      </c>
    </row>
    <row r="1204" spans="28:28" x14ac:dyDescent="0.3">
      <c r="AB1204" s="3">
        <v>31.526652053836393</v>
      </c>
    </row>
    <row r="1205" spans="28:28" x14ac:dyDescent="0.3">
      <c r="AB1205" s="3">
        <v>30.314986126197283</v>
      </c>
    </row>
    <row r="1206" spans="28:28" x14ac:dyDescent="0.3">
      <c r="AB1206" s="3">
        <v>29.521269442301026</v>
      </c>
    </row>
    <row r="1207" spans="28:28" x14ac:dyDescent="0.3">
      <c r="AB1207" s="3">
        <v>31.198966867479147</v>
      </c>
    </row>
    <row r="1208" spans="28:28" x14ac:dyDescent="0.3">
      <c r="AB1208" s="3">
        <v>26.241487065846741</v>
      </c>
    </row>
    <row r="1209" spans="28:28" x14ac:dyDescent="0.3">
      <c r="AB1209" s="3">
        <v>25.110261080512164</v>
      </c>
    </row>
    <row r="1210" spans="28:28" x14ac:dyDescent="0.3">
      <c r="AB1210" s="3">
        <v>26.109027228454746</v>
      </c>
    </row>
    <row r="1211" spans="28:28" x14ac:dyDescent="0.3">
      <c r="AB1211" s="3">
        <v>26.372669664666599</v>
      </c>
    </row>
    <row r="1212" spans="28:28" x14ac:dyDescent="0.3">
      <c r="AB1212" s="3">
        <v>26.364325368226208</v>
      </c>
    </row>
    <row r="1213" spans="28:28" x14ac:dyDescent="0.3">
      <c r="AB1213" s="3">
        <v>27.473363972438058</v>
      </c>
    </row>
    <row r="1214" spans="28:28" x14ac:dyDescent="0.3">
      <c r="AB1214" s="3">
        <v>26.843621206597572</v>
      </c>
    </row>
    <row r="1215" spans="28:28" x14ac:dyDescent="0.3">
      <c r="AB1215" s="3">
        <v>26.74032331322563</v>
      </c>
    </row>
    <row r="1216" spans="28:28" x14ac:dyDescent="0.3">
      <c r="AB1216" s="3">
        <v>28.095954384822392</v>
      </c>
    </row>
    <row r="1217" spans="28:28" x14ac:dyDescent="0.3">
      <c r="AB1217" s="3">
        <v>27.278053001952866</v>
      </c>
    </row>
    <row r="1218" spans="28:28" x14ac:dyDescent="0.3">
      <c r="AB1218" s="3">
        <v>26.837544313388946</v>
      </c>
    </row>
    <row r="1219" spans="28:28" x14ac:dyDescent="0.3">
      <c r="AB1219" s="3">
        <v>32.779703016827909</v>
      </c>
    </row>
    <row r="1220" spans="28:28" x14ac:dyDescent="0.3">
      <c r="AB1220" s="3">
        <v>36.158717507927889</v>
      </c>
    </row>
    <row r="1221" spans="28:28" x14ac:dyDescent="0.3">
      <c r="AB1221" s="3">
        <v>34.76655906414836</v>
      </c>
    </row>
    <row r="1222" spans="28:28" x14ac:dyDescent="0.3">
      <c r="AB1222" s="3">
        <v>34.05897652228883</v>
      </c>
    </row>
    <row r="1223" spans="28:28" x14ac:dyDescent="0.3">
      <c r="AB1223" s="3">
        <v>37.47333119441322</v>
      </c>
    </row>
    <row r="1224" spans="28:28" x14ac:dyDescent="0.3">
      <c r="AB1224" s="3">
        <v>37.589301107007721</v>
      </c>
    </row>
    <row r="1225" spans="28:28" x14ac:dyDescent="0.3">
      <c r="AB1225" s="3">
        <v>39.856932719597388</v>
      </c>
    </row>
    <row r="1226" spans="28:28" x14ac:dyDescent="0.3">
      <c r="AB1226" s="3">
        <v>37.668584545740252</v>
      </c>
    </row>
    <row r="1227" spans="28:28" x14ac:dyDescent="0.3">
      <c r="AB1227" s="3">
        <v>38.370709338703691</v>
      </c>
    </row>
    <row r="1228" spans="28:28" x14ac:dyDescent="0.3">
      <c r="AB1228" s="3">
        <v>37.857246724240028</v>
      </c>
    </row>
    <row r="1229" spans="28:28" x14ac:dyDescent="0.3">
      <c r="AB1229" s="3">
        <v>38.059161136441972</v>
      </c>
    </row>
    <row r="1230" spans="28:28" x14ac:dyDescent="0.3">
      <c r="AB1230" s="3">
        <v>38.462089052256545</v>
      </c>
    </row>
    <row r="1231" spans="28:28" x14ac:dyDescent="0.3">
      <c r="AB1231" s="3">
        <v>41.121895959047372</v>
      </c>
    </row>
    <row r="1232" spans="28:28" x14ac:dyDescent="0.3">
      <c r="AB1232" s="3">
        <v>44.629190124371704</v>
      </c>
    </row>
    <row r="1233" spans="28:28" x14ac:dyDescent="0.3">
      <c r="AB1233" s="3">
        <v>45.594119001488941</v>
      </c>
    </row>
    <row r="1234" spans="28:28" x14ac:dyDescent="0.3">
      <c r="AB1234" s="3">
        <v>42.264189299170539</v>
      </c>
    </row>
    <row r="1235" spans="28:28" x14ac:dyDescent="0.3">
      <c r="AB1235" s="3">
        <v>39.117774457376491</v>
      </c>
    </row>
    <row r="1236" spans="28:28" x14ac:dyDescent="0.3">
      <c r="AB1236" s="3">
        <v>39.559967713108435</v>
      </c>
    </row>
    <row r="1237" spans="28:28" x14ac:dyDescent="0.3">
      <c r="AB1237" s="3">
        <v>38.611767506914916</v>
      </c>
    </row>
    <row r="1238" spans="28:28" x14ac:dyDescent="0.3">
      <c r="AB1238" s="3">
        <v>38.891681289911901</v>
      </c>
    </row>
    <row r="1239" spans="28:28" x14ac:dyDescent="0.3">
      <c r="AB1239" s="3">
        <v>40.389438125171687</v>
      </c>
    </row>
    <row r="1240" spans="28:28" x14ac:dyDescent="0.3">
      <c r="AB1240" s="3">
        <v>40.976628174229823</v>
      </c>
    </row>
    <row r="1241" spans="28:28" x14ac:dyDescent="0.3">
      <c r="AB1241" s="3">
        <v>38.766683361767591</v>
      </c>
    </row>
    <row r="1242" spans="28:28" x14ac:dyDescent="0.3">
      <c r="AB1242" s="3">
        <v>38.663071840465534</v>
      </c>
    </row>
    <row r="1243" spans="28:28" x14ac:dyDescent="0.3">
      <c r="AB1243" s="3">
        <v>41.301096407757804</v>
      </c>
    </row>
    <row r="1244" spans="28:28" x14ac:dyDescent="0.3">
      <c r="AB1244" s="3">
        <v>36.496018436691074</v>
      </c>
    </row>
    <row r="1245" spans="28:28" x14ac:dyDescent="0.3">
      <c r="AB1245" s="3">
        <v>34.127438992590719</v>
      </c>
    </row>
    <row r="1246" spans="28:28" x14ac:dyDescent="0.3">
      <c r="AB1246" s="3">
        <v>32.163586467172685</v>
      </c>
    </row>
    <row r="1247" spans="28:28" x14ac:dyDescent="0.3">
      <c r="AB1247" s="3">
        <v>32.25272601261554</v>
      </c>
    </row>
    <row r="1248" spans="28:28" x14ac:dyDescent="0.3">
      <c r="AB1248" s="3">
        <v>32.961879867027399</v>
      </c>
    </row>
    <row r="1249" spans="28:28" x14ac:dyDescent="0.3">
      <c r="AB1249" s="3">
        <v>31.385803156833678</v>
      </c>
    </row>
    <row r="1250" spans="28:28" x14ac:dyDescent="0.3">
      <c r="AB1250" s="3">
        <v>31.735046574121949</v>
      </c>
    </row>
    <row r="1251" spans="28:28" x14ac:dyDescent="0.3">
      <c r="AB1251" s="3">
        <v>33.551276317538701</v>
      </c>
    </row>
    <row r="1252" spans="28:28" x14ac:dyDescent="0.3">
      <c r="AB1252" s="3">
        <v>33.68349257164239</v>
      </c>
    </row>
    <row r="1253" spans="28:28" x14ac:dyDescent="0.3">
      <c r="AB1253" s="3">
        <v>35.399498574353323</v>
      </c>
    </row>
    <row r="1254" spans="28:28" x14ac:dyDescent="0.3">
      <c r="AB1254" s="3">
        <v>35.210719066540136</v>
      </c>
    </row>
    <row r="1255" spans="28:28" x14ac:dyDescent="0.3">
      <c r="AB1255" s="3">
        <v>34.026765309810941</v>
      </c>
    </row>
    <row r="1256" spans="28:28" x14ac:dyDescent="0.3">
      <c r="AB1256" s="3">
        <v>33.106014116563436</v>
      </c>
    </row>
    <row r="1257" spans="28:28" x14ac:dyDescent="0.3">
      <c r="AB1257" s="3">
        <v>32.934699768592644</v>
      </c>
    </row>
    <row r="1258" spans="28:28" x14ac:dyDescent="0.3">
      <c r="AB1258" s="3">
        <v>36.834272761106078</v>
      </c>
    </row>
    <row r="1259" spans="28:28" x14ac:dyDescent="0.3">
      <c r="AB1259" s="3">
        <v>37.234631843708584</v>
      </c>
    </row>
    <row r="1260" spans="28:28" x14ac:dyDescent="0.3">
      <c r="AB1260" s="3">
        <v>35.056306609129628</v>
      </c>
    </row>
    <row r="1261" spans="28:28" x14ac:dyDescent="0.3">
      <c r="AB1261" s="3">
        <v>36.697148146685819</v>
      </c>
    </row>
    <row r="1262" spans="28:28" x14ac:dyDescent="0.3">
      <c r="AB1262" s="3">
        <v>40.761498289990627</v>
      </c>
    </row>
    <row r="1263" spans="28:28" x14ac:dyDescent="0.3">
      <c r="AB1263" s="3">
        <v>43.651077210281635</v>
      </c>
    </row>
    <row r="1264" spans="28:28" x14ac:dyDescent="0.3">
      <c r="AB1264" s="3">
        <v>42.131272908153868</v>
      </c>
    </row>
    <row r="1265" spans="28:28" x14ac:dyDescent="0.3">
      <c r="AB1265" s="3">
        <v>42.061148021912182</v>
      </c>
    </row>
    <row r="1266" spans="28:28" x14ac:dyDescent="0.3">
      <c r="AB1266" s="3">
        <v>42.738833118173709</v>
      </c>
    </row>
    <row r="1267" spans="28:28" x14ac:dyDescent="0.3">
      <c r="AB1267" s="3">
        <v>44.127108025860352</v>
      </c>
    </row>
    <row r="1268" spans="28:28" x14ac:dyDescent="0.3">
      <c r="AB1268" s="3">
        <v>44.195373411638577</v>
      </c>
    </row>
    <row r="1269" spans="28:28" x14ac:dyDescent="0.3">
      <c r="AB1269" s="3">
        <v>44.416745641311365</v>
      </c>
    </row>
    <row r="1270" spans="28:28" x14ac:dyDescent="0.3">
      <c r="AB1270" s="3">
        <v>46.130852146202535</v>
      </c>
    </row>
    <row r="1271" spans="28:28" x14ac:dyDescent="0.3">
      <c r="AB1271" s="3">
        <v>47.582034247263749</v>
      </c>
    </row>
    <row r="1272" spans="28:28" x14ac:dyDescent="0.3">
      <c r="AB1272" s="3">
        <v>52.189824848952142</v>
      </c>
    </row>
    <row r="1273" spans="28:28" x14ac:dyDescent="0.3">
      <c r="AB1273" s="3">
        <v>48.890845826589555</v>
      </c>
    </row>
    <row r="1274" spans="28:28" x14ac:dyDescent="0.3">
      <c r="AB1274" s="3">
        <v>48.606866744675997</v>
      </c>
    </row>
    <row r="1275" spans="28:28" x14ac:dyDescent="0.3">
      <c r="AB1275" s="3">
        <v>47.390602457365553</v>
      </c>
    </row>
    <row r="1276" spans="28:28" x14ac:dyDescent="0.3">
      <c r="AB1276" s="3">
        <v>47.966474285440306</v>
      </c>
    </row>
    <row r="1277" spans="28:28" x14ac:dyDescent="0.3">
      <c r="AB1277" s="3">
        <v>47.325856619876447</v>
      </c>
    </row>
    <row r="1278" spans="28:28" x14ac:dyDescent="0.3">
      <c r="AB1278" s="3">
        <v>48.5935514743026</v>
      </c>
    </row>
    <row r="1279" spans="28:28" x14ac:dyDescent="0.3">
      <c r="AB1279" s="3">
        <v>47.903421381473855</v>
      </c>
    </row>
    <row r="1280" spans="28:28" x14ac:dyDescent="0.3">
      <c r="AB1280" s="3">
        <v>47.530474021365116</v>
      </c>
    </row>
    <row r="1281" spans="28:28" x14ac:dyDescent="0.3">
      <c r="AB1281" s="3">
        <v>46.554779603736854</v>
      </c>
    </row>
    <row r="1282" spans="28:28" x14ac:dyDescent="0.3">
      <c r="AB1282" s="3">
        <v>43.713471879973248</v>
      </c>
    </row>
    <row r="1283" spans="28:28" x14ac:dyDescent="0.3">
      <c r="AB1283" s="3">
        <v>42.794647696180554</v>
      </c>
    </row>
    <row r="1284" spans="28:28" x14ac:dyDescent="0.3">
      <c r="AB1284" s="3">
        <v>40.071882950809339</v>
      </c>
    </row>
    <row r="1285" spans="28:28" x14ac:dyDescent="0.3">
      <c r="AB1285" s="3">
        <v>39.810697894887923</v>
      </c>
    </row>
    <row r="1286" spans="28:28" x14ac:dyDescent="0.3">
      <c r="AB1286" s="3">
        <v>39.739532477554306</v>
      </c>
    </row>
    <row r="1287" spans="28:28" x14ac:dyDescent="0.3">
      <c r="AB1287" s="3">
        <v>38.276378525580078</v>
      </c>
    </row>
    <row r="1288" spans="28:28" x14ac:dyDescent="0.3">
      <c r="AB1288" s="3">
        <v>37.658234641834589</v>
      </c>
    </row>
    <row r="1289" spans="28:28" x14ac:dyDescent="0.3">
      <c r="AB1289" s="3">
        <v>36.272983376953221</v>
      </c>
    </row>
    <row r="1290" spans="28:28" x14ac:dyDescent="0.3">
      <c r="AB1290" s="3">
        <v>36.949853231788609</v>
      </c>
    </row>
    <row r="1291" spans="28:28" x14ac:dyDescent="0.3">
      <c r="AB1291" s="3">
        <v>36.235363499235341</v>
      </c>
    </row>
    <row r="1292" spans="28:28" x14ac:dyDescent="0.3">
      <c r="AB1292" s="3">
        <v>37.023116836392234</v>
      </c>
    </row>
    <row r="1293" spans="28:28" x14ac:dyDescent="0.3">
      <c r="AB1293" s="3">
        <v>36.023879750265515</v>
      </c>
    </row>
    <row r="1294" spans="28:28" x14ac:dyDescent="0.3">
      <c r="AB1294" s="3">
        <v>35.782647174389282</v>
      </c>
    </row>
    <row r="1295" spans="28:28" x14ac:dyDescent="0.3">
      <c r="AB1295" s="3">
        <v>33.994263556943523</v>
      </c>
    </row>
    <row r="1296" spans="28:28" x14ac:dyDescent="0.3">
      <c r="AB1296" s="3">
        <v>35.75389482606122</v>
      </c>
    </row>
    <row r="1297" spans="28:28" x14ac:dyDescent="0.3">
      <c r="AB1297" s="3">
        <v>36.28567989029775</v>
      </c>
    </row>
    <row r="1298" spans="28:28" x14ac:dyDescent="0.3">
      <c r="AB1298" s="3">
        <v>37.008880254968986</v>
      </c>
    </row>
    <row r="1299" spans="28:28" x14ac:dyDescent="0.3">
      <c r="AB1299" s="3">
        <v>36.060371034110972</v>
      </c>
    </row>
    <row r="1300" spans="28:28" x14ac:dyDescent="0.3">
      <c r="AB1300" s="3">
        <v>36.174072425699748</v>
      </c>
    </row>
    <row r="1301" spans="28:28" x14ac:dyDescent="0.3">
      <c r="AB1301" s="3">
        <v>34.300813800960704</v>
      </c>
    </row>
    <row r="1302" spans="28:28" x14ac:dyDescent="0.3">
      <c r="AB1302" s="3">
        <v>33.018501153693592</v>
      </c>
    </row>
    <row r="1303" spans="28:28" x14ac:dyDescent="0.3">
      <c r="AB1303" s="3">
        <v>32.676673767985022</v>
      </c>
    </row>
    <row r="1304" spans="28:28" x14ac:dyDescent="0.3">
      <c r="AB1304" s="3">
        <v>35.433448416041884</v>
      </c>
    </row>
    <row r="1305" spans="28:28" x14ac:dyDescent="0.3">
      <c r="AB1305" s="3">
        <v>34.259967291747046</v>
      </c>
    </row>
    <row r="1306" spans="28:28" x14ac:dyDescent="0.3">
      <c r="AB1306" s="3">
        <v>32.444854672261059</v>
      </c>
    </row>
    <row r="1307" spans="28:28" x14ac:dyDescent="0.3">
      <c r="AB1307" s="3">
        <v>34.562600337477868</v>
      </c>
    </row>
    <row r="1308" spans="28:28" x14ac:dyDescent="0.3">
      <c r="AB1308" s="3">
        <v>34.511227021581888</v>
      </c>
    </row>
    <row r="1309" spans="28:28" x14ac:dyDescent="0.3">
      <c r="AB1309" s="3">
        <v>33.574670794792404</v>
      </c>
    </row>
    <row r="1310" spans="28:28" x14ac:dyDescent="0.3">
      <c r="AB1310" s="3">
        <v>33.120240838415221</v>
      </c>
    </row>
    <row r="1311" spans="28:28" x14ac:dyDescent="0.3">
      <c r="AB1311" s="3">
        <v>29.669178116354807</v>
      </c>
    </row>
    <row r="1312" spans="28:28" x14ac:dyDescent="0.3">
      <c r="AB1312" s="3">
        <v>29.531816802225986</v>
      </c>
    </row>
    <row r="1313" spans="28:28" x14ac:dyDescent="0.3">
      <c r="AB1313" s="3">
        <v>29.614443122759099</v>
      </c>
    </row>
    <row r="1314" spans="28:28" x14ac:dyDescent="0.3">
      <c r="AB1314" s="3">
        <v>29.474076841818977</v>
      </c>
    </row>
    <row r="1315" spans="28:28" x14ac:dyDescent="0.3">
      <c r="AB1315" s="3">
        <v>29.020721327713552</v>
      </c>
    </row>
    <row r="1316" spans="28:28" x14ac:dyDescent="0.3">
      <c r="AB1316" s="3">
        <v>27.789375089999591</v>
      </c>
    </row>
    <row r="1317" spans="28:28" x14ac:dyDescent="0.3">
      <c r="AB1317" s="3">
        <v>32.360117816634961</v>
      </c>
    </row>
    <row r="1318" spans="28:28" x14ac:dyDescent="0.3">
      <c r="AB1318" s="3">
        <v>32.436851133441351</v>
      </c>
    </row>
    <row r="1319" spans="28:28" x14ac:dyDescent="0.3">
      <c r="AB1319" s="3">
        <v>32.639233840653226</v>
      </c>
    </row>
    <row r="1320" spans="28:28" x14ac:dyDescent="0.3">
      <c r="AB1320" s="3">
        <v>31.830828497242596</v>
      </c>
    </row>
    <row r="1321" spans="28:28" x14ac:dyDescent="0.3">
      <c r="AB1321" s="3">
        <v>35.777237630607097</v>
      </c>
    </row>
    <row r="1322" spans="28:28" x14ac:dyDescent="0.3">
      <c r="AB1322" s="3">
        <v>36.255253723288412</v>
      </c>
    </row>
    <row r="1323" spans="28:28" x14ac:dyDescent="0.3">
      <c r="AB1323" s="3">
        <v>37.052039168024784</v>
      </c>
    </row>
    <row r="1324" spans="28:28" x14ac:dyDescent="0.3">
      <c r="AB1324" s="3">
        <v>37.052855455354852</v>
      </c>
    </row>
    <row r="1325" spans="28:28" x14ac:dyDescent="0.3">
      <c r="AB1325" s="3">
        <v>37.744869027990148</v>
      </c>
    </row>
    <row r="1326" spans="28:28" x14ac:dyDescent="0.3">
      <c r="AB1326" s="3">
        <v>34.026310848909702</v>
      </c>
    </row>
    <row r="1327" spans="28:28" x14ac:dyDescent="0.3">
      <c r="AB1327" s="3">
        <v>33.294916048702383</v>
      </c>
    </row>
    <row r="1328" spans="28:28" x14ac:dyDescent="0.3">
      <c r="AB1328" s="3">
        <v>29.874933864563889</v>
      </c>
    </row>
    <row r="1329" spans="28:28" x14ac:dyDescent="0.3">
      <c r="AB1329" s="3">
        <v>31.661029363429151</v>
      </c>
    </row>
    <row r="1330" spans="28:28" x14ac:dyDescent="0.3">
      <c r="AB1330" s="3">
        <v>33.925701031808302</v>
      </c>
    </row>
    <row r="1331" spans="28:28" x14ac:dyDescent="0.3">
      <c r="AB1331" s="3">
        <v>31.862702783131638</v>
      </c>
    </row>
    <row r="1332" spans="28:28" x14ac:dyDescent="0.3">
      <c r="AB1332" s="3">
        <v>28.465326971906762</v>
      </c>
    </row>
    <row r="1333" spans="28:28" x14ac:dyDescent="0.3">
      <c r="AB1333" s="3">
        <v>31.683748719752764</v>
      </c>
    </row>
    <row r="1334" spans="28:28" x14ac:dyDescent="0.3">
      <c r="AB1334" s="3">
        <v>33.047707795418276</v>
      </c>
    </row>
    <row r="1335" spans="28:28" x14ac:dyDescent="0.3">
      <c r="AB1335" s="3">
        <v>33.083785961254556</v>
      </c>
    </row>
    <row r="1336" spans="28:28" x14ac:dyDescent="0.3">
      <c r="AB1336" s="3">
        <v>32.077864779703603</v>
      </c>
    </row>
    <row r="1337" spans="28:28" x14ac:dyDescent="0.3">
      <c r="AB1337" s="3">
        <v>31.657872239245538</v>
      </c>
    </row>
    <row r="1338" spans="28:28" x14ac:dyDescent="0.3">
      <c r="AB1338" s="3">
        <v>30.098637674650423</v>
      </c>
    </row>
    <row r="1339" spans="28:28" x14ac:dyDescent="0.3">
      <c r="AB1339" s="3">
        <v>32.030322319490637</v>
      </c>
    </row>
    <row r="1340" spans="28:28" x14ac:dyDescent="0.3">
      <c r="AB1340" s="3">
        <v>35.686400426457908</v>
      </c>
    </row>
    <row r="1341" spans="28:28" x14ac:dyDescent="0.3">
      <c r="AB1341" s="3">
        <v>36.366206557805839</v>
      </c>
    </row>
    <row r="1342" spans="28:28" x14ac:dyDescent="0.3">
      <c r="AB1342" s="3">
        <v>38.738275415242285</v>
      </c>
    </row>
    <row r="1343" spans="28:28" x14ac:dyDescent="0.3">
      <c r="AB1343" s="3">
        <v>37.089379372762117</v>
      </c>
    </row>
    <row r="1344" spans="28:28" x14ac:dyDescent="0.3">
      <c r="AB1344" s="3">
        <v>37.882644435528213</v>
      </c>
    </row>
    <row r="1345" spans="28:28" x14ac:dyDescent="0.3">
      <c r="AB1345" s="3">
        <v>41.219236219210877</v>
      </c>
    </row>
    <row r="1346" spans="28:28" x14ac:dyDescent="0.3">
      <c r="AB1346" s="3">
        <v>39.66790145562684</v>
      </c>
    </row>
    <row r="1347" spans="28:28" x14ac:dyDescent="0.3">
      <c r="AB1347" s="3">
        <v>38.549180546909987</v>
      </c>
    </row>
    <row r="1348" spans="28:28" x14ac:dyDescent="0.3">
      <c r="AB1348" s="3">
        <v>37.454486041955327</v>
      </c>
    </row>
    <row r="1349" spans="28:28" x14ac:dyDescent="0.3">
      <c r="AB1349" s="3">
        <v>38.165042300541536</v>
      </c>
    </row>
    <row r="1350" spans="28:28" x14ac:dyDescent="0.3">
      <c r="AB1350" s="3">
        <v>38.396359690473815</v>
      </c>
    </row>
    <row r="1351" spans="28:28" x14ac:dyDescent="0.3">
      <c r="AB1351" s="3">
        <v>42.932665330269259</v>
      </c>
    </row>
    <row r="1352" spans="28:28" x14ac:dyDescent="0.3">
      <c r="AB1352" s="3">
        <v>42.332483285639498</v>
      </c>
    </row>
    <row r="1353" spans="28:28" x14ac:dyDescent="0.3">
      <c r="AB1353" s="3">
        <v>42.716406667832487</v>
      </c>
    </row>
    <row r="1354" spans="28:28" x14ac:dyDescent="0.3">
      <c r="AB1354" s="3">
        <v>43.600881126021328</v>
      </c>
    </row>
    <row r="1355" spans="28:28" x14ac:dyDescent="0.3">
      <c r="AB1355" s="3">
        <v>45.084800980948373</v>
      </c>
    </row>
    <row r="1356" spans="28:28" x14ac:dyDescent="0.3">
      <c r="AB1356" s="3">
        <v>42.608669496434956</v>
      </c>
    </row>
    <row r="1357" spans="28:28" x14ac:dyDescent="0.3">
      <c r="AB1357" s="3">
        <v>41.210877511626506</v>
      </c>
    </row>
    <row r="1358" spans="28:28" x14ac:dyDescent="0.3">
      <c r="AB1358" s="3">
        <v>40.673395405535324</v>
      </c>
    </row>
    <row r="1359" spans="28:28" x14ac:dyDescent="0.3">
      <c r="AB1359" s="3">
        <v>37.331573014198895</v>
      </c>
    </row>
    <row r="1360" spans="28:28" x14ac:dyDescent="0.3">
      <c r="AB1360" s="3">
        <v>37.7670483771522</v>
      </c>
    </row>
    <row r="1361" spans="28:28" x14ac:dyDescent="0.3">
      <c r="AB1361" s="3">
        <v>38.689778106744896</v>
      </c>
    </row>
    <row r="1362" spans="28:28" x14ac:dyDescent="0.3">
      <c r="AB1362" s="3">
        <v>40.525153053511133</v>
      </c>
    </row>
    <row r="1363" spans="28:28" x14ac:dyDescent="0.3">
      <c r="AB1363" s="3">
        <v>40.214415743045535</v>
      </c>
    </row>
    <row r="1364" spans="28:28" x14ac:dyDescent="0.3">
      <c r="AB1364" s="3">
        <v>40.221677936522269</v>
      </c>
    </row>
    <row r="1365" spans="28:28" x14ac:dyDescent="0.3">
      <c r="AB1365" s="3">
        <v>38.529396097349007</v>
      </c>
    </row>
    <row r="1366" spans="28:28" x14ac:dyDescent="0.3">
      <c r="AB1366" s="3">
        <v>39.584072200267499</v>
      </c>
    </row>
    <row r="1367" spans="28:28" x14ac:dyDescent="0.3">
      <c r="AB1367" s="3">
        <v>39.597210615132099</v>
      </c>
    </row>
    <row r="1368" spans="28:28" x14ac:dyDescent="0.3">
      <c r="AB1368" s="3">
        <v>37.883535858870331</v>
      </c>
    </row>
    <row r="1369" spans="28:28" x14ac:dyDescent="0.3">
      <c r="AB1369" s="3">
        <v>36.616244650715188</v>
      </c>
    </row>
    <row r="1370" spans="28:28" x14ac:dyDescent="0.3">
      <c r="AB1370" s="3">
        <v>33.51528345234339</v>
      </c>
    </row>
    <row r="1371" spans="28:28" x14ac:dyDescent="0.3">
      <c r="AB1371" s="3">
        <v>32.448821180314916</v>
      </c>
    </row>
    <row r="1372" spans="28:28" x14ac:dyDescent="0.3">
      <c r="AB1372" s="3">
        <v>31.526368496931937</v>
      </c>
    </row>
    <row r="1373" spans="28:28" x14ac:dyDescent="0.3">
      <c r="AB1373" s="3">
        <v>30.205620014636757</v>
      </c>
    </row>
    <row r="1374" spans="28:28" x14ac:dyDescent="0.3">
      <c r="AB1374" s="3">
        <v>29.031865701260184</v>
      </c>
    </row>
    <row r="1375" spans="28:28" x14ac:dyDescent="0.3">
      <c r="AB1375" s="3">
        <v>27.581985089106883</v>
      </c>
    </row>
    <row r="1376" spans="28:28" x14ac:dyDescent="0.3">
      <c r="AB1376" s="3">
        <v>27.649997086487463</v>
      </c>
    </row>
    <row r="1377" spans="28:28" x14ac:dyDescent="0.3">
      <c r="AB1377" s="3">
        <v>27.694896110457385</v>
      </c>
    </row>
    <row r="1378" spans="28:28" x14ac:dyDescent="0.3">
      <c r="AB1378" s="3">
        <v>29.220803469894747</v>
      </c>
    </row>
    <row r="1379" spans="28:28" x14ac:dyDescent="0.3">
      <c r="AB1379" s="3">
        <v>32.34821950616314</v>
      </c>
    </row>
    <row r="1380" spans="28:28" x14ac:dyDescent="0.3">
      <c r="AB1380" s="3">
        <v>32.309131206312777</v>
      </c>
    </row>
    <row r="1381" spans="28:28" x14ac:dyDescent="0.3">
      <c r="AB1381" s="3">
        <v>31.292050025008677</v>
      </c>
    </row>
    <row r="1382" spans="28:28" x14ac:dyDescent="0.3">
      <c r="AB1382" s="3">
        <v>29.878891952330935</v>
      </c>
    </row>
    <row r="1383" spans="28:28" x14ac:dyDescent="0.3">
      <c r="AB1383" s="3">
        <v>28.739607346288331</v>
      </c>
    </row>
    <row r="1384" spans="28:28" x14ac:dyDescent="0.3">
      <c r="AB1384" s="3">
        <v>27.167777164958601</v>
      </c>
    </row>
    <row r="1385" spans="28:28" x14ac:dyDescent="0.3">
      <c r="AB1385" s="3">
        <v>26.123782068007426</v>
      </c>
    </row>
    <row r="1386" spans="28:28" x14ac:dyDescent="0.3">
      <c r="AB1386" s="3">
        <v>26.258804052280897</v>
      </c>
    </row>
    <row r="1387" spans="28:28" x14ac:dyDescent="0.3">
      <c r="AB1387" s="3">
        <v>26.332827208452663</v>
      </c>
    </row>
    <row r="1388" spans="28:28" x14ac:dyDescent="0.3">
      <c r="AB1388" s="3">
        <v>27.788723362053052</v>
      </c>
    </row>
    <row r="1389" spans="28:28" x14ac:dyDescent="0.3">
      <c r="AB1389" s="3">
        <v>29.786183959096611</v>
      </c>
    </row>
    <row r="1390" spans="28:28" x14ac:dyDescent="0.3">
      <c r="AB1390" s="3">
        <v>25.852193662444691</v>
      </c>
    </row>
    <row r="1391" spans="28:28" x14ac:dyDescent="0.3">
      <c r="AB1391" s="3">
        <v>29.917433273687294</v>
      </c>
    </row>
    <row r="1392" spans="28:28" x14ac:dyDescent="0.3">
      <c r="AB1392" s="3">
        <v>29.807452521913532</v>
      </c>
    </row>
    <row r="1393" spans="28:28" x14ac:dyDescent="0.3">
      <c r="AB1393" s="3">
        <v>31.372802781362221</v>
      </c>
    </row>
    <row r="1394" spans="28:28" x14ac:dyDescent="0.3">
      <c r="AB1394" s="3">
        <v>30.406285357419318</v>
      </c>
    </row>
    <row r="1395" spans="28:28" x14ac:dyDescent="0.3">
      <c r="AB1395" s="3">
        <v>32.232284231282144</v>
      </c>
    </row>
    <row r="1396" spans="28:28" x14ac:dyDescent="0.3">
      <c r="AB1396" s="3">
        <v>32.109208958376591</v>
      </c>
    </row>
    <row r="1397" spans="28:28" x14ac:dyDescent="0.3">
      <c r="AB1397" s="3">
        <v>31.49691249754364</v>
      </c>
    </row>
    <row r="1398" spans="28:28" x14ac:dyDescent="0.3">
      <c r="AB1398" s="3">
        <v>29.682755690187982</v>
      </c>
    </row>
    <row r="1399" spans="28:28" x14ac:dyDescent="0.3">
      <c r="AB1399" s="3">
        <v>29.182048989828257</v>
      </c>
    </row>
    <row r="1400" spans="28:28" x14ac:dyDescent="0.3">
      <c r="AB1400" s="3">
        <v>29.459970747799325</v>
      </c>
    </row>
    <row r="1401" spans="28:28" x14ac:dyDescent="0.3">
      <c r="AB1401" s="3">
        <v>29.580889868012811</v>
      </c>
    </row>
    <row r="1402" spans="28:28" x14ac:dyDescent="0.3">
      <c r="AB1402" s="3">
        <v>29.720811971347604</v>
      </c>
    </row>
    <row r="1403" spans="28:28" x14ac:dyDescent="0.3">
      <c r="AB1403" s="3">
        <v>29.689734260513536</v>
      </c>
    </row>
    <row r="1404" spans="28:28" x14ac:dyDescent="0.3">
      <c r="AB1404" s="3">
        <v>29.724660119699426</v>
      </c>
    </row>
    <row r="1405" spans="28:28" x14ac:dyDescent="0.3">
      <c r="AB1405" s="3">
        <v>29.5465882470093</v>
      </c>
    </row>
    <row r="1406" spans="28:28" x14ac:dyDescent="0.3">
      <c r="AB1406" s="3">
        <v>30.142612934512648</v>
      </c>
    </row>
    <row r="1407" spans="28:28" x14ac:dyDescent="0.3">
      <c r="AB1407" s="3">
        <v>32.140323421726329</v>
      </c>
    </row>
    <row r="1408" spans="28:28" x14ac:dyDescent="0.3">
      <c r="AB1408" s="3">
        <v>34.223489683533089</v>
      </c>
    </row>
    <row r="1409" spans="28:28" x14ac:dyDescent="0.3">
      <c r="AB1409" s="3">
        <v>32.596507513754219</v>
      </c>
    </row>
    <row r="1410" spans="28:28" x14ac:dyDescent="0.3">
      <c r="AB1410" s="3">
        <v>32.514528659588848</v>
      </c>
    </row>
    <row r="1411" spans="28:28" x14ac:dyDescent="0.3">
      <c r="AB1411" s="3">
        <v>30.406052190647674</v>
      </c>
    </row>
    <row r="1412" spans="28:28" x14ac:dyDescent="0.3">
      <c r="AB1412" s="3">
        <v>29.077668506149188</v>
      </c>
    </row>
    <row r="1413" spans="28:28" x14ac:dyDescent="0.3">
      <c r="AB1413" s="3">
        <v>27.803514169859092</v>
      </c>
    </row>
    <row r="1414" spans="28:28" x14ac:dyDescent="0.3">
      <c r="AB1414" s="3">
        <v>31.094366176993844</v>
      </c>
    </row>
    <row r="1415" spans="28:28" x14ac:dyDescent="0.3">
      <c r="AB1415" s="3">
        <v>30.781813286043096</v>
      </c>
    </row>
    <row r="1416" spans="28:28" x14ac:dyDescent="0.3">
      <c r="AB1416" s="3">
        <v>29.950671916657647</v>
      </c>
    </row>
    <row r="1417" spans="28:28" x14ac:dyDescent="0.3">
      <c r="AB1417" s="3">
        <v>29.967642304515543</v>
      </c>
    </row>
    <row r="1418" spans="28:28" x14ac:dyDescent="0.3">
      <c r="AB1418" s="3">
        <v>28.63761276347946</v>
      </c>
    </row>
    <row r="1419" spans="28:28" x14ac:dyDescent="0.3">
      <c r="AB1419" s="3">
        <v>28.323585964215113</v>
      </c>
    </row>
    <row r="1420" spans="28:28" x14ac:dyDescent="0.3">
      <c r="AB1420" s="3">
        <v>28.132560944194399</v>
      </c>
    </row>
    <row r="1421" spans="28:28" x14ac:dyDescent="0.3">
      <c r="AB1421" s="3">
        <v>28.072540070003342</v>
      </c>
    </row>
    <row r="1422" spans="28:28" x14ac:dyDescent="0.3">
      <c r="AB1422" s="3">
        <v>31.121383209267758</v>
      </c>
    </row>
    <row r="1423" spans="28:28" x14ac:dyDescent="0.3">
      <c r="AB1423" s="3">
        <v>30.201328444990327</v>
      </c>
    </row>
    <row r="1424" spans="28:28" x14ac:dyDescent="0.3">
      <c r="AB1424" s="3">
        <v>28.6382409619969</v>
      </c>
    </row>
    <row r="1425" spans="28:28" x14ac:dyDescent="0.3">
      <c r="AB1425" s="3">
        <v>27.795991781235191</v>
      </c>
    </row>
    <row r="1426" spans="28:28" x14ac:dyDescent="0.3">
      <c r="AB1426" s="3">
        <v>24.262505631584201</v>
      </c>
    </row>
    <row r="1427" spans="28:28" x14ac:dyDescent="0.3">
      <c r="AB1427" s="3">
        <v>25.918144915873548</v>
      </c>
    </row>
    <row r="1428" spans="28:28" x14ac:dyDescent="0.3">
      <c r="AB1428" s="3">
        <v>25.995294872864324</v>
      </c>
    </row>
    <row r="1429" spans="28:28" x14ac:dyDescent="0.3">
      <c r="AB1429" s="3">
        <v>25.799436655292233</v>
      </c>
    </row>
    <row r="1430" spans="28:28" x14ac:dyDescent="0.3">
      <c r="AB1430" s="3">
        <v>26.027575805137008</v>
      </c>
    </row>
    <row r="1431" spans="28:28" x14ac:dyDescent="0.3">
      <c r="AB1431" s="3">
        <v>25.080426884969992</v>
      </c>
    </row>
    <row r="1432" spans="28:28" x14ac:dyDescent="0.3">
      <c r="AB1432" s="3">
        <v>25.068988894139284</v>
      </c>
    </row>
    <row r="1433" spans="28:28" x14ac:dyDescent="0.3">
      <c r="AB1433" s="3">
        <v>24.829814327481746</v>
      </c>
    </row>
    <row r="1434" spans="28:28" x14ac:dyDescent="0.3">
      <c r="AB1434" s="3">
        <v>24.826083794468264</v>
      </c>
    </row>
    <row r="1435" spans="28:28" x14ac:dyDescent="0.3">
      <c r="AB1435" s="3">
        <v>22.537556649660488</v>
      </c>
    </row>
    <row r="1436" spans="28:28" x14ac:dyDescent="0.3">
      <c r="AB1436" s="3">
        <v>22.293855014916996</v>
      </c>
    </row>
    <row r="1437" spans="28:28" x14ac:dyDescent="0.3">
      <c r="AB1437" s="3">
        <v>21.191523560161791</v>
      </c>
    </row>
    <row r="1438" spans="28:28" x14ac:dyDescent="0.3">
      <c r="AB1438" s="3">
        <v>19.622206995444188</v>
      </c>
    </row>
    <row r="1439" spans="28:28" x14ac:dyDescent="0.3">
      <c r="AB1439" s="3">
        <v>19.591219895143656</v>
      </c>
    </row>
    <row r="1440" spans="28:28" x14ac:dyDescent="0.3">
      <c r="AB1440" s="3">
        <v>19.498338582994297</v>
      </c>
    </row>
    <row r="1441" spans="28:28" x14ac:dyDescent="0.3">
      <c r="AB1441" s="3">
        <v>22.674093413178841</v>
      </c>
    </row>
    <row r="1442" spans="28:28" x14ac:dyDescent="0.3">
      <c r="AB1442" s="3">
        <v>20.026707897626064</v>
      </c>
    </row>
    <row r="1443" spans="28:28" x14ac:dyDescent="0.3">
      <c r="AB1443" s="3">
        <v>21.144856606550441</v>
      </c>
    </row>
    <row r="1444" spans="28:28" x14ac:dyDescent="0.3">
      <c r="AB1444" s="3">
        <v>19.331960160422192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alculateAreaDemand.CalculateAreaDemand">
                <anchor moveWithCells="1">
                  <from>
                    <xdr:col>1</xdr:col>
                    <xdr:colOff>971550</xdr:colOff>
                    <xdr:row>5</xdr:row>
                    <xdr:rowOff>12700</xdr:rowOff>
                  </from>
                  <to>
                    <xdr:col>3</xdr:col>
                    <xdr:colOff>69850</xdr:colOff>
                    <xdr:row>8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SlowCharging.SlowCharging">
                <anchor moveWithCells="1" sizeWithCells="1">
                  <from>
                    <xdr:col>2</xdr:col>
                    <xdr:colOff>107950</xdr:colOff>
                    <xdr:row>10</xdr:row>
                    <xdr:rowOff>133350</xdr:rowOff>
                  </from>
                  <to>
                    <xdr:col>3</xdr:col>
                    <xdr:colOff>774700</xdr:colOff>
                    <xdr:row>13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76CC1-F6DD-4B95-AC11-711CE2FF7169}">
  <sheetPr codeName="Sheet6"/>
  <dimension ref="A1:AC98"/>
  <sheetViews>
    <sheetView zoomScale="70" zoomScaleNormal="70" workbookViewId="0">
      <pane ySplit="1" topLeftCell="A2" activePane="bottomLeft" state="frozen"/>
      <selection pane="bottomLeft" activeCell="D9" sqref="D9"/>
    </sheetView>
  </sheetViews>
  <sheetFormatPr defaultRowHeight="14" x14ac:dyDescent="0.3"/>
  <cols>
    <col min="1" max="1" width="19.75" customWidth="1"/>
    <col min="2" max="2" width="12.5" customWidth="1"/>
    <col min="3" max="3" width="13.33203125" customWidth="1"/>
    <col min="4" max="4" width="16.83203125" customWidth="1"/>
    <col min="5" max="5" width="15.33203125" customWidth="1"/>
  </cols>
  <sheetData>
    <row r="1" spans="1:29" x14ac:dyDescent="0.3">
      <c r="A1" t="s">
        <v>63</v>
      </c>
      <c r="B1" t="s">
        <v>61</v>
      </c>
      <c r="C1" t="s">
        <v>62</v>
      </c>
      <c r="D1" t="s">
        <v>60</v>
      </c>
      <c r="E1" t="s">
        <v>64</v>
      </c>
      <c r="F1" t="s">
        <v>17</v>
      </c>
      <c r="G1" s="1" t="s">
        <v>18</v>
      </c>
      <c r="H1" t="s">
        <v>19</v>
      </c>
      <c r="I1" s="1" t="s">
        <v>20</v>
      </c>
      <c r="J1" t="s">
        <v>21</v>
      </c>
      <c r="K1" s="1" t="s">
        <v>22</v>
      </c>
      <c r="L1" t="s">
        <v>23</v>
      </c>
      <c r="M1" s="1" t="s">
        <v>24</v>
      </c>
      <c r="N1" t="s">
        <v>25</v>
      </c>
      <c r="O1" s="1" t="s">
        <v>26</v>
      </c>
      <c r="P1" t="s">
        <v>27</v>
      </c>
      <c r="Q1" s="1" t="s">
        <v>28</v>
      </c>
      <c r="R1" t="s">
        <v>29</v>
      </c>
      <c r="S1" s="1" t="s">
        <v>30</v>
      </c>
      <c r="T1" t="s">
        <v>31</v>
      </c>
      <c r="U1" s="1" t="s">
        <v>32</v>
      </c>
      <c r="V1" t="s">
        <v>33</v>
      </c>
      <c r="W1" s="1" t="s">
        <v>34</v>
      </c>
      <c r="X1" t="s">
        <v>35</v>
      </c>
      <c r="Y1" s="1" t="s">
        <v>36</v>
      </c>
      <c r="Z1" t="s">
        <v>37</v>
      </c>
      <c r="AA1" s="1" t="s">
        <v>38</v>
      </c>
      <c r="AB1" t="s">
        <v>39</v>
      </c>
      <c r="AC1" s="1" t="s">
        <v>40</v>
      </c>
    </row>
    <row r="2" spans="1:29" x14ac:dyDescent="0.3">
      <c r="A2">
        <v>5.1943253118888935</v>
      </c>
      <c r="B2">
        <v>0.19837064969886242</v>
      </c>
      <c r="C2">
        <v>1.6098720931469312</v>
      </c>
      <c r="D2">
        <v>3.68</v>
      </c>
      <c r="E2">
        <v>1.4115014434480688</v>
      </c>
      <c r="F2">
        <v>2.9499960091081863</v>
      </c>
      <c r="G2">
        <v>2.2443293027807072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</row>
    <row r="3" spans="1:29" x14ac:dyDescent="0.3">
      <c r="A3">
        <v>7.5905365802749127</v>
      </c>
      <c r="B3">
        <v>1.9578515811439523</v>
      </c>
      <c r="C3">
        <v>4.0204973910012658</v>
      </c>
      <c r="D3">
        <v>3.68</v>
      </c>
      <c r="E3">
        <v>2.0626458098573131</v>
      </c>
      <c r="F3">
        <v>0</v>
      </c>
      <c r="G3">
        <v>0.15510618139025553</v>
      </c>
      <c r="H3">
        <v>3.68</v>
      </c>
      <c r="I3">
        <v>3.68</v>
      </c>
      <c r="J3">
        <v>7.5430398884658134E-2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</row>
    <row r="4" spans="1:29" x14ac:dyDescent="0.3">
      <c r="A4">
        <v>4.9629151961321991</v>
      </c>
      <c r="B4">
        <v>0.44551309780905868</v>
      </c>
      <c r="C4">
        <v>1.794131357627591</v>
      </c>
      <c r="D4">
        <v>3.68</v>
      </c>
      <c r="E4">
        <v>1.3486182598185323</v>
      </c>
      <c r="F4">
        <v>2.0405118000626641</v>
      </c>
      <c r="G4">
        <v>2.922403396069535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3">
      <c r="A5">
        <v>4.5212777657997076</v>
      </c>
      <c r="B5">
        <v>0.72848293487765403</v>
      </c>
      <c r="C5">
        <v>1.9570910234101833</v>
      </c>
      <c r="D5">
        <v>3.68</v>
      </c>
      <c r="E5">
        <v>1.2286080885325292</v>
      </c>
      <c r="F5">
        <v>0.99918279965023316</v>
      </c>
      <c r="G5">
        <v>3.5220949661494747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3">
      <c r="A6">
        <v>4.2169369120254521</v>
      </c>
      <c r="B6">
        <v>22.486370834982097</v>
      </c>
      <c r="C6">
        <v>23.632277604554229</v>
      </c>
      <c r="D6">
        <v>3.68</v>
      </c>
      <c r="E6">
        <v>1.1459067695721337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1.890155327265884</v>
      </c>
      <c r="AC6">
        <v>2.326781584759563</v>
      </c>
    </row>
    <row r="7" spans="1:29" x14ac:dyDescent="0.3">
      <c r="A7">
        <v>4.4038939518392439</v>
      </c>
      <c r="B7">
        <v>23.452696821746823</v>
      </c>
      <c r="C7">
        <v>24.649407134746617</v>
      </c>
      <c r="D7">
        <v>3.68</v>
      </c>
      <c r="E7">
        <v>1.1967103129997945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2.0140756959716914</v>
      </c>
    </row>
    <row r="8" spans="1:29" x14ac:dyDescent="0.3">
      <c r="A8">
        <v>8.6452288592009339</v>
      </c>
      <c r="B8">
        <v>23.888339248667755</v>
      </c>
      <c r="C8">
        <v>26.237586221276704</v>
      </c>
      <c r="D8">
        <v>3.68</v>
      </c>
      <c r="E8">
        <v>2.3492469726089493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0.41091156490266145</v>
      </c>
    </row>
    <row r="9" spans="1:29" x14ac:dyDescent="0.3">
      <c r="A9">
        <v>4.3889570621253942</v>
      </c>
      <c r="B9">
        <v>1.5903863657343074</v>
      </c>
      <c r="C9">
        <v>2.7830377413118601</v>
      </c>
      <c r="D9">
        <v>3.68</v>
      </c>
      <c r="E9">
        <v>1.1926513755775527</v>
      </c>
      <c r="F9">
        <v>0</v>
      </c>
      <c r="G9">
        <v>1.507378174097749</v>
      </c>
      <c r="H9">
        <v>2.8815788880276454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</row>
    <row r="10" spans="1:29" x14ac:dyDescent="0.3">
      <c r="A10">
        <v>5.7205409519165844</v>
      </c>
      <c r="B10">
        <v>0.34478680962850916</v>
      </c>
      <c r="C10">
        <v>1.8992816335188853</v>
      </c>
      <c r="D10">
        <v>3.68</v>
      </c>
      <c r="E10">
        <v>1.5544948238903762</v>
      </c>
      <c r="F10">
        <v>2.4111845405670862</v>
      </c>
      <c r="G10">
        <v>3.3093564113494982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</row>
    <row r="11" spans="1:29" x14ac:dyDescent="0.3">
      <c r="A11">
        <v>4.4248507507563239</v>
      </c>
      <c r="B11">
        <v>21.88908834690243</v>
      </c>
      <c r="C11">
        <v>23.091493442216649</v>
      </c>
      <c r="D11">
        <v>3.68</v>
      </c>
      <c r="E11">
        <v>1.2024050953142185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0.40815488339905925</v>
      </c>
      <c r="AB11">
        <v>3.68</v>
      </c>
      <c r="AC11">
        <v>0.33669586735726797</v>
      </c>
    </row>
    <row r="12" spans="1:29" x14ac:dyDescent="0.3">
      <c r="A12">
        <v>6.8683527887909435</v>
      </c>
      <c r="B12">
        <v>23.844310538496849</v>
      </c>
      <c r="C12">
        <v>25.710710752842214</v>
      </c>
      <c r="D12">
        <v>3.68</v>
      </c>
      <c r="E12">
        <v>1.8664002143453651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0.57293721833159572</v>
      </c>
    </row>
    <row r="13" spans="1:29" x14ac:dyDescent="0.3">
      <c r="A13">
        <v>6.634998544276633</v>
      </c>
      <c r="B13">
        <v>23.975281134556134</v>
      </c>
      <c r="C13">
        <v>25.778269869413915</v>
      </c>
      <c r="D13">
        <v>3.68</v>
      </c>
      <c r="E13">
        <v>1.8029887348577807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9.0965424833426595E-2</v>
      </c>
    </row>
    <row r="14" spans="1:29" x14ac:dyDescent="0.3">
      <c r="A14">
        <v>9.5730012173342427</v>
      </c>
      <c r="B14">
        <v>23.538360245225348</v>
      </c>
      <c r="C14">
        <v>26.139719271674871</v>
      </c>
      <c r="D14">
        <v>3.68</v>
      </c>
      <c r="E14">
        <v>2.6013590264495225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1.6988342975707178</v>
      </c>
    </row>
    <row r="15" spans="1:29" x14ac:dyDescent="0.3">
      <c r="A15">
        <v>5.9433346609406899</v>
      </c>
      <c r="B15">
        <v>23.747201876930262</v>
      </c>
      <c r="C15">
        <v>25.362238469577189</v>
      </c>
      <c r="D15">
        <v>3.68</v>
      </c>
      <c r="E15">
        <v>1.6150365926469266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0.9302970928966352</v>
      </c>
    </row>
    <row r="16" spans="1:29" x14ac:dyDescent="0.3">
      <c r="A16">
        <v>3.0031512541015903</v>
      </c>
      <c r="B16">
        <v>23.726575374018914</v>
      </c>
      <c r="C16">
        <v>24.542649084372606</v>
      </c>
      <c r="D16">
        <v>3.68</v>
      </c>
      <c r="E16">
        <v>0.81607371035369303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1.0062026236103965</v>
      </c>
    </row>
    <row r="17" spans="1:29" x14ac:dyDescent="0.3">
      <c r="A17">
        <v>3.6857937908637823</v>
      </c>
      <c r="B17">
        <v>0.41397863806032831</v>
      </c>
      <c r="C17">
        <v>1.4155530377515735</v>
      </c>
      <c r="D17">
        <v>3.68</v>
      </c>
      <c r="E17">
        <v>1.0015743996912452</v>
      </c>
      <c r="F17">
        <v>2.1565586119379918</v>
      </c>
      <c r="G17">
        <v>1.5292351789257905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</row>
    <row r="18" spans="1:29" x14ac:dyDescent="0.3">
      <c r="A18">
        <v>3.2014957877164636</v>
      </c>
      <c r="B18">
        <v>23.657046159461323</v>
      </c>
      <c r="C18">
        <v>24.527017840906016</v>
      </c>
      <c r="D18">
        <v>3.68</v>
      </c>
      <c r="E18">
        <v>0.86997168144469117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1.2620701331823296</v>
      </c>
    </row>
    <row r="19" spans="1:29" x14ac:dyDescent="0.3">
      <c r="A19">
        <v>4.161854491464327</v>
      </c>
      <c r="B19">
        <v>22.651144249903219</v>
      </c>
      <c r="C19">
        <v>23.782082970409828</v>
      </c>
      <c r="D19">
        <v>3.68</v>
      </c>
      <c r="E19">
        <v>1.1309387205066106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1.283789160356156</v>
      </c>
      <c r="AC19">
        <v>2.878065331108167</v>
      </c>
    </row>
    <row r="20" spans="1:29" x14ac:dyDescent="0.3">
      <c r="A20">
        <v>3.8621920990804464</v>
      </c>
      <c r="B20">
        <v>22.339426501654167</v>
      </c>
      <c r="C20">
        <v>23.388935224230377</v>
      </c>
      <c r="D20">
        <v>3.68</v>
      </c>
      <c r="E20">
        <v>1.0495087225762083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2.4309104739126668</v>
      </c>
      <c r="AC20">
        <v>1.4312816251677856</v>
      </c>
    </row>
    <row r="21" spans="1:29" x14ac:dyDescent="0.3">
      <c r="A21">
        <v>5.4892817353557222</v>
      </c>
      <c r="B21">
        <v>23.323867370855591</v>
      </c>
      <c r="C21">
        <v>24.815520016332691</v>
      </c>
      <c r="D21">
        <v>3.68</v>
      </c>
      <c r="E21">
        <v>1.4916526454770984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2.4881680752514237</v>
      </c>
    </row>
    <row r="22" spans="1:29" x14ac:dyDescent="0.3">
      <c r="A22">
        <v>6.4736984056492037</v>
      </c>
      <c r="B22">
        <v>0.88499017033226224</v>
      </c>
      <c r="C22">
        <v>2.6441473457804152</v>
      </c>
      <c r="D22">
        <v>3.68</v>
      </c>
      <c r="E22">
        <v>1.7591571754481532</v>
      </c>
      <c r="F22">
        <v>0.42323617317727497</v>
      </c>
      <c r="G22">
        <v>3.68</v>
      </c>
      <c r="H22">
        <v>2.3704622324719282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</row>
    <row r="23" spans="1:29" x14ac:dyDescent="0.3">
      <c r="A23">
        <v>6.1460702564842657</v>
      </c>
      <c r="B23">
        <v>0.13893266315547237</v>
      </c>
      <c r="C23">
        <v>1.8090604502435881</v>
      </c>
      <c r="D23">
        <v>3.68</v>
      </c>
      <c r="E23">
        <v>1.6701277870881157</v>
      </c>
      <c r="F23">
        <v>3.1687277995878618</v>
      </c>
      <c r="G23">
        <v>2.9773424568964044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</row>
    <row r="24" spans="1:29" x14ac:dyDescent="0.3">
      <c r="A24">
        <v>7.5644925534479563</v>
      </c>
      <c r="B24">
        <v>23.0376106343023</v>
      </c>
      <c r="C24">
        <v>25.093179262956635</v>
      </c>
      <c r="D24">
        <v>3.68</v>
      </c>
      <c r="E24">
        <v>2.0555686286543358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3.5415928657675346</v>
      </c>
    </row>
    <row r="25" spans="1:29" x14ac:dyDescent="0.3">
      <c r="A25">
        <v>3.5927456165752636</v>
      </c>
      <c r="B25">
        <v>23.5168741573689</v>
      </c>
      <c r="C25">
        <v>24.49316372709044</v>
      </c>
      <c r="D25">
        <v>3.68</v>
      </c>
      <c r="E25">
        <v>0.97628956972153902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1.7779031008824491</v>
      </c>
    </row>
    <row r="26" spans="1:29" x14ac:dyDescent="0.3">
      <c r="A26">
        <v>3.5117350484423806</v>
      </c>
      <c r="B26">
        <v>1.2576374145614011</v>
      </c>
      <c r="C26">
        <v>2.2119132429424826</v>
      </c>
      <c r="D26">
        <v>3.68</v>
      </c>
      <c r="E26">
        <v>0.9542758283810816</v>
      </c>
      <c r="F26">
        <v>0</v>
      </c>
      <c r="G26">
        <v>2.7318943144140442</v>
      </c>
      <c r="H26">
        <v>0.77984073402833598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3">
      <c r="A27">
        <v>3.2714582968841475</v>
      </c>
      <c r="B27">
        <v>23.574815713607915</v>
      </c>
      <c r="C27">
        <v>24.463798946456869</v>
      </c>
      <c r="D27">
        <v>3.68</v>
      </c>
      <c r="E27">
        <v>0.88898323284895309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1.5646781739228726</v>
      </c>
    </row>
    <row r="28" spans="1:29" x14ac:dyDescent="0.3">
      <c r="A28">
        <v>4.2503494627340492</v>
      </c>
      <c r="B28">
        <v>23.958447906890189</v>
      </c>
      <c r="C28">
        <v>25.113434173937485</v>
      </c>
      <c r="D28">
        <v>3.68</v>
      </c>
      <c r="E28">
        <v>1.1549862670472959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0.1529117026441037</v>
      </c>
    </row>
    <row r="29" spans="1:29" x14ac:dyDescent="0.3">
      <c r="A29">
        <v>8.4732552520726134</v>
      </c>
      <c r="B29">
        <v>23.606342532816655</v>
      </c>
      <c r="C29">
        <v>25.908857546966821</v>
      </c>
      <c r="D29">
        <v>3.68</v>
      </c>
      <c r="E29">
        <v>2.3025150141501665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1.4486594792347114</v>
      </c>
    </row>
    <row r="30" spans="1:29" x14ac:dyDescent="0.3">
      <c r="A30">
        <v>2.5406469488649099</v>
      </c>
      <c r="B30">
        <v>22.700508116177822</v>
      </c>
      <c r="C30">
        <v>23.390901308804157</v>
      </c>
      <c r="D30">
        <v>3.68</v>
      </c>
      <c r="E30">
        <v>0.69039319262633414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1.1021301324656145</v>
      </c>
      <c r="AC30">
        <v>1.4385168163992972</v>
      </c>
    </row>
    <row r="31" spans="1:29" x14ac:dyDescent="0.3">
      <c r="A31">
        <v>4.9573801578357264</v>
      </c>
      <c r="B31">
        <v>23.115593406015002</v>
      </c>
      <c r="C31">
        <v>24.462707579339927</v>
      </c>
      <c r="D31">
        <v>3.68</v>
      </c>
      <c r="E31">
        <v>1.3471141733249257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3.2546162658647941</v>
      </c>
    </row>
    <row r="32" spans="1:29" x14ac:dyDescent="0.3">
      <c r="A32">
        <v>6.080303574444069</v>
      </c>
      <c r="B32">
        <v>1.8726977164020475</v>
      </c>
      <c r="C32">
        <v>3.5249541225009793</v>
      </c>
      <c r="D32">
        <v>3.68</v>
      </c>
      <c r="E32">
        <v>1.6522564060989318</v>
      </c>
      <c r="F32">
        <v>0</v>
      </c>
      <c r="G32">
        <v>0.46847240364046516</v>
      </c>
      <c r="H32">
        <v>3.68</v>
      </c>
      <c r="I32">
        <v>1.9318311708036038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3">
      <c r="A33">
        <v>5.7953005197304819</v>
      </c>
      <c r="B33">
        <v>0.17148158382047285</v>
      </c>
      <c r="C33">
        <v>1.7462915076602776</v>
      </c>
      <c r="D33">
        <v>3.68</v>
      </c>
      <c r="E33">
        <v>1.5748099238398048</v>
      </c>
      <c r="F33">
        <v>3.0489477715406599</v>
      </c>
      <c r="G33">
        <v>2.746352748189822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3">
      <c r="A34">
        <v>4.5963316464687827</v>
      </c>
      <c r="B34">
        <v>0.28438149317667083</v>
      </c>
      <c r="C34">
        <v>1.5333846579779704</v>
      </c>
      <c r="D34">
        <v>3.68</v>
      </c>
      <c r="E34">
        <v>1.2490031648012996</v>
      </c>
      <c r="F34">
        <v>2.6334761051098514</v>
      </c>
      <c r="G34">
        <v>1.9628555413589313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</row>
    <row r="35" spans="1:29" x14ac:dyDescent="0.3">
      <c r="A35">
        <v>5.5624817609802237</v>
      </c>
      <c r="B35">
        <v>1.9507671029543872</v>
      </c>
      <c r="C35">
        <v>3.4623110597424915</v>
      </c>
      <c r="D35">
        <v>3.68</v>
      </c>
      <c r="E35">
        <v>1.5115439567881042</v>
      </c>
      <c r="F35">
        <v>0</v>
      </c>
      <c r="G35">
        <v>0.18117706112785528</v>
      </c>
      <c r="H35">
        <v>3.68</v>
      </c>
      <c r="I35">
        <v>1.7013046998523689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</row>
    <row r="36" spans="1:29" x14ac:dyDescent="0.3">
      <c r="A36">
        <v>3.4653027237695921</v>
      </c>
      <c r="B36">
        <v>1.3626330419217147</v>
      </c>
      <c r="C36">
        <v>2.3042913907721472</v>
      </c>
      <c r="D36">
        <v>3.68</v>
      </c>
      <c r="E36">
        <v>0.94165834885043265</v>
      </c>
      <c r="F36">
        <v>0</v>
      </c>
      <c r="G36">
        <v>2.3455104057280898</v>
      </c>
      <c r="H36">
        <v>1.1197923180415017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</row>
    <row r="37" spans="1:29" x14ac:dyDescent="0.3">
      <c r="A37">
        <v>4.8969336467813367</v>
      </c>
      <c r="B37">
        <v>0.34077064907796384</v>
      </c>
      <c r="C37">
        <v>1.6714591400511531</v>
      </c>
      <c r="D37">
        <v>3.68</v>
      </c>
      <c r="E37">
        <v>1.3306884909731893</v>
      </c>
      <c r="F37">
        <v>2.4259640113930931</v>
      </c>
      <c r="G37">
        <v>2.4709696353882435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</row>
    <row r="38" spans="1:29" x14ac:dyDescent="0.3">
      <c r="A38">
        <v>4.1159399920885171</v>
      </c>
      <c r="B38">
        <v>0.80090826934558024</v>
      </c>
      <c r="C38">
        <v>1.9193702237174599</v>
      </c>
      <c r="D38">
        <v>3.68</v>
      </c>
      <c r="E38">
        <v>1.1184619543718797</v>
      </c>
      <c r="F38">
        <v>0.73265756880826471</v>
      </c>
      <c r="G38">
        <v>3.3832824232802525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</row>
    <row r="39" spans="1:29" x14ac:dyDescent="0.3">
      <c r="A39">
        <v>4.8732226491662223</v>
      </c>
      <c r="B39">
        <v>23.264121280684034</v>
      </c>
      <c r="C39">
        <v>24.588366565783552</v>
      </c>
      <c r="D39">
        <v>3.68</v>
      </c>
      <c r="E39">
        <v>1.3242452850995168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2.7080336870827564</v>
      </c>
    </row>
    <row r="40" spans="1:29" x14ac:dyDescent="0.3">
      <c r="A40">
        <v>5.2724332079750367</v>
      </c>
      <c r="B40">
        <v>22.191835868661727</v>
      </c>
      <c r="C40">
        <v>23.624562283872336</v>
      </c>
      <c r="D40">
        <v>3.68</v>
      </c>
      <c r="E40">
        <v>1.4327264152106078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2.9740440033248459</v>
      </c>
      <c r="AC40">
        <v>2.2983892046501979</v>
      </c>
    </row>
    <row r="41" spans="1:29" x14ac:dyDescent="0.3">
      <c r="A41">
        <v>6.7833902857050239</v>
      </c>
      <c r="B41">
        <v>22.828249211992031</v>
      </c>
      <c r="C41">
        <v>24.671561789629266</v>
      </c>
      <c r="D41">
        <v>3.68</v>
      </c>
      <c r="E41">
        <v>1.8433125776372348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0.63204289986932738</v>
      </c>
      <c r="AC41">
        <v>3.68</v>
      </c>
    </row>
    <row r="42" spans="1:29" x14ac:dyDescent="0.3">
      <c r="A42">
        <v>3.4215661338680432</v>
      </c>
      <c r="B42">
        <v>0.33759134864084572</v>
      </c>
      <c r="C42">
        <v>1.2673647545832487</v>
      </c>
      <c r="D42">
        <v>3.68</v>
      </c>
      <c r="E42">
        <v>0.92977340594240299</v>
      </c>
      <c r="F42">
        <v>2.4376638370016877</v>
      </c>
      <c r="G42">
        <v>0.98390229686635533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</row>
    <row r="43" spans="1:29" x14ac:dyDescent="0.3">
      <c r="A43">
        <v>5.8651961812705196</v>
      </c>
      <c r="B43">
        <v>0.96030964006109798</v>
      </c>
      <c r="C43">
        <v>2.5541129501889568</v>
      </c>
      <c r="D43">
        <v>3.68</v>
      </c>
      <c r="E43">
        <v>1.5938033101278586</v>
      </c>
      <c r="F43">
        <v>0.14606052457515944</v>
      </c>
      <c r="G43">
        <v>3.68</v>
      </c>
      <c r="H43">
        <v>2.0391356566953611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</row>
    <row r="44" spans="1:29" x14ac:dyDescent="0.3">
      <c r="A44">
        <v>3.0182957279171072</v>
      </c>
      <c r="B44">
        <v>0.75446451538689274</v>
      </c>
      <c r="C44">
        <v>1.5746535718861066</v>
      </c>
      <c r="D44">
        <v>3.68</v>
      </c>
      <c r="E44">
        <v>0.82018905649921392</v>
      </c>
      <c r="F44">
        <v>0.90357058337623475</v>
      </c>
      <c r="G44">
        <v>2.1147251445408721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</row>
    <row r="45" spans="1:29" x14ac:dyDescent="0.3">
      <c r="A45">
        <v>4.9973292721347331</v>
      </c>
      <c r="B45">
        <v>0.24213627122226811</v>
      </c>
      <c r="C45">
        <v>1.6001061821284455</v>
      </c>
      <c r="D45">
        <v>3.68</v>
      </c>
      <c r="E45">
        <v>1.3579699109061774</v>
      </c>
      <c r="F45">
        <v>2.7889385219020535</v>
      </c>
      <c r="G45">
        <v>2.2083907502326796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</row>
    <row r="46" spans="1:29" x14ac:dyDescent="0.3">
      <c r="A46">
        <v>4.9837335722613956</v>
      </c>
      <c r="B46">
        <v>23.973989695911825</v>
      </c>
      <c r="C46">
        <v>25.328265123156768</v>
      </c>
      <c r="D46">
        <v>3.68</v>
      </c>
      <c r="E46">
        <v>1.3542754272449444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9.5717919044482194E-2</v>
      </c>
    </row>
    <row r="47" spans="1:29" x14ac:dyDescent="0.3">
      <c r="A47">
        <v>4.1541593834713026</v>
      </c>
      <c r="B47">
        <v>0.31653203231156013</v>
      </c>
      <c r="C47">
        <v>1.4453796908635446</v>
      </c>
      <c r="D47">
        <v>3.68</v>
      </c>
      <c r="E47">
        <v>1.1288476585519844</v>
      </c>
      <c r="F47">
        <v>2.5151621210934589</v>
      </c>
      <c r="G47">
        <v>1.6389972623778442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3">
      <c r="A48">
        <v>4.8495206562409976</v>
      </c>
      <c r="B48">
        <v>0.49557361864040672</v>
      </c>
      <c r="C48">
        <v>1.8133781447928516</v>
      </c>
      <c r="D48">
        <v>3.68</v>
      </c>
      <c r="E48">
        <v>1.3178045261524449</v>
      </c>
      <c r="F48">
        <v>1.8562890834033035</v>
      </c>
      <c r="G48">
        <v>2.9932315728376944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</row>
    <row r="49" spans="1:29" x14ac:dyDescent="0.3">
      <c r="A49">
        <v>4.2417597076437525</v>
      </c>
      <c r="B49">
        <v>23.923360088442632</v>
      </c>
      <c r="C49">
        <v>25.076012182911043</v>
      </c>
      <c r="D49">
        <v>3.68</v>
      </c>
      <c r="E49">
        <v>1.1526520944684109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0.28203487453111564</v>
      </c>
    </row>
    <row r="50" spans="1:29" x14ac:dyDescent="0.3">
      <c r="A50">
        <v>3.1084586480777485</v>
      </c>
      <c r="B50">
        <v>0.2371713755326752</v>
      </c>
      <c r="C50">
        <v>1.0818612255538025</v>
      </c>
      <c r="D50">
        <v>3.68</v>
      </c>
      <c r="E50">
        <v>0.84468985002112729</v>
      </c>
      <c r="F50">
        <v>2.8072093380397556</v>
      </c>
      <c r="G50">
        <v>0.30124931003799316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</row>
    <row r="51" spans="1:29" x14ac:dyDescent="0.3">
      <c r="A51">
        <v>3.0848661560619139</v>
      </c>
      <c r="B51">
        <v>1.5807149907977447</v>
      </c>
      <c r="C51">
        <v>2.4189938375536997</v>
      </c>
      <c r="D51">
        <v>3.68</v>
      </c>
      <c r="E51">
        <v>0.83827884675595488</v>
      </c>
      <c r="F51">
        <v>0</v>
      </c>
      <c r="G51">
        <v>1.5429688338642995</v>
      </c>
      <c r="H51">
        <v>1.5418973221976149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</row>
    <row r="52" spans="1:29" x14ac:dyDescent="0.3">
      <c r="A52">
        <v>5.2018993887036018</v>
      </c>
      <c r="B52">
        <v>1.9501794629335585</v>
      </c>
      <c r="C52">
        <v>3.3637390794291022</v>
      </c>
      <c r="D52">
        <v>3.68</v>
      </c>
      <c r="E52">
        <v>1.413559616495544</v>
      </c>
      <c r="F52">
        <v>0</v>
      </c>
      <c r="G52">
        <v>0.18333957640450479</v>
      </c>
      <c r="H52">
        <v>3.68</v>
      </c>
      <c r="I52">
        <v>1.3385598122990963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</row>
    <row r="53" spans="1:29" x14ac:dyDescent="0.3">
      <c r="A53">
        <v>5.2014134075817831</v>
      </c>
      <c r="B53">
        <v>0.19859556087160968</v>
      </c>
      <c r="C53">
        <v>1.6120231172797028</v>
      </c>
      <c r="D53">
        <v>3.68</v>
      </c>
      <c r="E53">
        <v>1.4134275564080931</v>
      </c>
      <c r="F53">
        <v>2.9491683359924763</v>
      </c>
      <c r="G53">
        <v>2.2522450715893063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3">
      <c r="A54">
        <v>2.6220996599758148</v>
      </c>
      <c r="B54">
        <v>22.933660898917839</v>
      </c>
      <c r="C54">
        <v>23.646187980433005</v>
      </c>
      <c r="D54">
        <v>3.68</v>
      </c>
      <c r="E54">
        <v>0.71252708151516708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0.24412789198235091</v>
      </c>
      <c r="AC54">
        <v>2.3779717679934596</v>
      </c>
    </row>
    <row r="55" spans="1:29" x14ac:dyDescent="0.3">
      <c r="A55">
        <v>3.846635301383353</v>
      </c>
      <c r="B55">
        <v>1.8252678456874207</v>
      </c>
      <c r="C55">
        <v>2.8705491775850707</v>
      </c>
      <c r="D55">
        <v>3.68</v>
      </c>
      <c r="E55">
        <v>1.0452813318976502</v>
      </c>
      <c r="F55">
        <v>0</v>
      </c>
      <c r="G55">
        <v>0.64301432787029178</v>
      </c>
      <c r="H55">
        <v>3.2036209735130603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</row>
    <row r="56" spans="1:29" x14ac:dyDescent="0.3">
      <c r="A56">
        <v>5.9638581279171969</v>
      </c>
      <c r="B56">
        <v>21.275691043687566</v>
      </c>
      <c r="C56">
        <v>22.896304665404195</v>
      </c>
      <c r="D56">
        <v>3.68</v>
      </c>
      <c r="E56">
        <v>1.6206136217166296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2.6654569592297586</v>
      </c>
      <c r="AB56">
        <v>3.2984011686874362</v>
      </c>
      <c r="AC56">
        <v>0</v>
      </c>
    </row>
    <row r="57" spans="1:29" x14ac:dyDescent="0.3">
      <c r="A57">
        <v>4.5239337190681272</v>
      </c>
      <c r="B57">
        <v>0.90568649190939254</v>
      </c>
      <c r="C57">
        <v>2.1350163068735575</v>
      </c>
      <c r="D57">
        <v>3.68</v>
      </c>
      <c r="E57">
        <v>1.2293298149641649</v>
      </c>
      <c r="F57">
        <v>0.34707370977343543</v>
      </c>
      <c r="G57">
        <v>3.68</v>
      </c>
      <c r="H57">
        <v>0.49686000929469154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1:29" x14ac:dyDescent="0.3">
      <c r="A58">
        <v>6.3280729950108299</v>
      </c>
      <c r="B58">
        <v>0.48054378309739576</v>
      </c>
      <c r="C58">
        <v>2.2001288360894691</v>
      </c>
      <c r="D58">
        <v>3.68</v>
      </c>
      <c r="E58">
        <v>1.7195850529920733</v>
      </c>
      <c r="F58">
        <v>1.9115988782015836</v>
      </c>
      <c r="G58">
        <v>3.68</v>
      </c>
      <c r="H58">
        <v>0.73647411680924624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</row>
    <row r="59" spans="1:29" x14ac:dyDescent="0.3">
      <c r="A59">
        <v>6.6863988450432119</v>
      </c>
      <c r="B59">
        <v>0.29115700479276185</v>
      </c>
      <c r="C59">
        <v>2.1081132126849389</v>
      </c>
      <c r="D59">
        <v>3.68</v>
      </c>
      <c r="E59">
        <v>1.816956207892177</v>
      </c>
      <c r="F59">
        <v>2.6085422223626367</v>
      </c>
      <c r="G59">
        <v>3.68</v>
      </c>
      <c r="H59">
        <v>0.39785662268057514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</row>
    <row r="60" spans="1:29" x14ac:dyDescent="0.3">
      <c r="A60">
        <v>2.554398897407379</v>
      </c>
      <c r="B60">
        <v>0.50922722605942639</v>
      </c>
      <c r="C60">
        <v>1.203357361224475</v>
      </c>
      <c r="D60">
        <v>3.68</v>
      </c>
      <c r="E60">
        <v>0.69413013516504862</v>
      </c>
      <c r="F60">
        <v>1.806043808101311</v>
      </c>
      <c r="G60">
        <v>0.74835508930606809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3">
      <c r="A61">
        <v>5.1685326865489678</v>
      </c>
      <c r="B61">
        <v>23.97531341624876</v>
      </c>
      <c r="C61">
        <v>25.379805994115326</v>
      </c>
      <c r="D61">
        <v>3.68</v>
      </c>
      <c r="E61">
        <v>1.4044925778665673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9.0846628204564017E-2</v>
      </c>
    </row>
    <row r="62" spans="1:29" x14ac:dyDescent="0.3">
      <c r="A62">
        <v>3.4527556820653906</v>
      </c>
      <c r="B62">
        <v>1.489592409605752</v>
      </c>
      <c r="C62">
        <v>2.4278412362539559</v>
      </c>
      <c r="D62">
        <v>3.68</v>
      </c>
      <c r="E62">
        <v>0.93824882664820397</v>
      </c>
      <c r="F62">
        <v>0</v>
      </c>
      <c r="G62">
        <v>1.8782999326508327</v>
      </c>
      <c r="H62">
        <v>1.5744557494145577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1:29" x14ac:dyDescent="0.3">
      <c r="A63">
        <v>4.3167508972456234</v>
      </c>
      <c r="B63">
        <v>23.979986086339025</v>
      </c>
      <c r="C63">
        <v>25.153016221460117</v>
      </c>
      <c r="D63">
        <v>3.68</v>
      </c>
      <c r="E63">
        <v>1.1730301351210932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7.3651202272387764E-2</v>
      </c>
    </row>
    <row r="64" spans="1:29" x14ac:dyDescent="0.3">
      <c r="A64">
        <v>3.3284789787677624</v>
      </c>
      <c r="B64">
        <v>1.5384897838881528</v>
      </c>
      <c r="C64">
        <v>2.442967767248958</v>
      </c>
      <c r="D64">
        <v>3.68</v>
      </c>
      <c r="E64">
        <v>0.90447798336080498</v>
      </c>
      <c r="F64">
        <v>0</v>
      </c>
      <c r="G64">
        <v>1.6983575952915977</v>
      </c>
      <c r="H64">
        <v>1.6301213834761656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1:29" x14ac:dyDescent="0.3">
      <c r="A65">
        <v>6.2900040692537971</v>
      </c>
      <c r="B65">
        <v>23.527012871862844</v>
      </c>
      <c r="C65">
        <v>25.236253108073115</v>
      </c>
      <c r="D65">
        <v>3.68</v>
      </c>
      <c r="E65">
        <v>1.7092402362102708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1.7405926315447335</v>
      </c>
    </row>
    <row r="66" spans="1:29" x14ac:dyDescent="0.3">
      <c r="A66">
        <v>4.7686416317787836</v>
      </c>
      <c r="B66">
        <v>22.98879959841981</v>
      </c>
      <c r="C66">
        <v>24.284626128794478</v>
      </c>
      <c r="D66">
        <v>3.68</v>
      </c>
      <c r="E66">
        <v>1.2958265303746694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4.1217477815099532E-2</v>
      </c>
      <c r="AC66">
        <v>3.68</v>
      </c>
    </row>
    <row r="67" spans="1:29" x14ac:dyDescent="0.3">
      <c r="A67">
        <v>9.2675828497816504</v>
      </c>
      <c r="B67">
        <v>0.15787675032051496</v>
      </c>
      <c r="C67">
        <v>2.6762416551524852</v>
      </c>
      <c r="D67">
        <v>3.68</v>
      </c>
      <c r="E67">
        <v>2.5183649048319703</v>
      </c>
      <c r="F67">
        <v>3.0990135588205052</v>
      </c>
      <c r="G67">
        <v>3.68</v>
      </c>
      <c r="H67">
        <v>2.4885692909611459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3">
      <c r="A68">
        <v>6.6313934870616214</v>
      </c>
      <c r="B68">
        <v>23.070369034727623</v>
      </c>
      <c r="C68">
        <v>24.87237813447263</v>
      </c>
      <c r="D68">
        <v>3.68</v>
      </c>
      <c r="E68">
        <v>1.8020090997450058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3.4210419522023479</v>
      </c>
    </row>
    <row r="69" spans="1:29" x14ac:dyDescent="0.3">
      <c r="A69">
        <v>4.7528670330599754</v>
      </c>
      <c r="B69">
        <v>0.65447205262605124</v>
      </c>
      <c r="C69">
        <v>1.946012007261914</v>
      </c>
      <c r="D69">
        <v>3.68</v>
      </c>
      <c r="E69">
        <v>1.2915399546358628</v>
      </c>
      <c r="F69">
        <v>1.2715428463361316</v>
      </c>
      <c r="G69">
        <v>3.4813241867238438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</row>
    <row r="70" spans="1:29" x14ac:dyDescent="0.3">
      <c r="A70">
        <v>7.1244088461822459</v>
      </c>
      <c r="B70">
        <v>6.3643196479290509E-3</v>
      </c>
      <c r="C70">
        <v>1.9423449843713654</v>
      </c>
      <c r="D70">
        <v>3.68</v>
      </c>
      <c r="E70">
        <v>1.9359806647234363</v>
      </c>
      <c r="F70">
        <v>3.6565793036956213</v>
      </c>
      <c r="G70">
        <v>3.4678295424866246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</row>
    <row r="71" spans="1:29" x14ac:dyDescent="0.3">
      <c r="A71">
        <v>5.3312650069990317</v>
      </c>
      <c r="B71">
        <v>0.28527490103057218</v>
      </c>
      <c r="C71">
        <v>1.7339882181498742</v>
      </c>
      <c r="D71">
        <v>3.68</v>
      </c>
      <c r="E71">
        <v>1.4487133171193021</v>
      </c>
      <c r="F71">
        <v>2.6301883642074944</v>
      </c>
      <c r="G71">
        <v>2.7010766427915374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</row>
    <row r="72" spans="1:29" x14ac:dyDescent="0.3">
      <c r="A72">
        <v>2.4860252098369617</v>
      </c>
      <c r="B72">
        <v>0.18970189343492549</v>
      </c>
      <c r="C72">
        <v>0.86525222219496944</v>
      </c>
      <c r="D72">
        <v>3.68</v>
      </c>
      <c r="E72">
        <v>0.67555032876004395</v>
      </c>
      <c r="F72">
        <v>2.9818970321594742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</row>
    <row r="73" spans="1:29" x14ac:dyDescent="0.3">
      <c r="A73">
        <v>5.8128409197173996</v>
      </c>
      <c r="B73">
        <v>2.1200585021632676</v>
      </c>
      <c r="C73">
        <v>3.6996348390429956</v>
      </c>
      <c r="D73">
        <v>3.68</v>
      </c>
      <c r="E73">
        <v>1.579576336879728</v>
      </c>
      <c r="F73">
        <v>0</v>
      </c>
      <c r="G73">
        <v>0</v>
      </c>
      <c r="H73">
        <v>3.2381847120391751</v>
      </c>
      <c r="I73">
        <v>2.574656207678224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</row>
    <row r="74" spans="1:29" x14ac:dyDescent="0.3">
      <c r="A74">
        <v>3.2597440288766788</v>
      </c>
      <c r="B74">
        <v>0.77510583263402211</v>
      </c>
      <c r="C74">
        <v>1.6609058404809458</v>
      </c>
      <c r="D74">
        <v>3.68</v>
      </c>
      <c r="E74">
        <v>0.88580000784692359</v>
      </c>
      <c r="F74">
        <v>0.82761053590679867</v>
      </c>
      <c r="G74">
        <v>2.4321334929698808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3">
      <c r="A75">
        <v>8.8318038213101584</v>
      </c>
      <c r="B75">
        <v>23.311718341682294</v>
      </c>
      <c r="C75">
        <v>25.711665032255706</v>
      </c>
      <c r="D75">
        <v>3.68</v>
      </c>
      <c r="E75">
        <v>2.3999466905734126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2.5328765026091582</v>
      </c>
    </row>
    <row r="76" spans="1:29" x14ac:dyDescent="0.3">
      <c r="A76">
        <v>5.1981144645891124</v>
      </c>
      <c r="B76">
        <v>0.14477378148297859</v>
      </c>
      <c r="C76">
        <v>1.5573048859908896</v>
      </c>
      <c r="D76">
        <v>3.68</v>
      </c>
      <c r="E76">
        <v>1.412531104507911</v>
      </c>
      <c r="F76">
        <v>3.1472324841426391</v>
      </c>
      <c r="G76">
        <v>2.0508819804464737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</row>
    <row r="77" spans="1:29" x14ac:dyDescent="0.3">
      <c r="A77">
        <v>5.4127133398482652</v>
      </c>
      <c r="B77">
        <v>23.364694177965088</v>
      </c>
      <c r="C77">
        <v>24.835540194228205</v>
      </c>
      <c r="D77">
        <v>3.68</v>
      </c>
      <c r="E77">
        <v>1.4708460162631154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2.3379254250884758</v>
      </c>
    </row>
    <row r="78" spans="1:29" x14ac:dyDescent="0.3">
      <c r="A78">
        <v>6.1740116244791956</v>
      </c>
      <c r="B78">
        <v>23.312571441125812</v>
      </c>
      <c r="C78">
        <v>24.990291991256029</v>
      </c>
      <c r="D78">
        <v>3.68</v>
      </c>
      <c r="E78">
        <v>1.6777205501302161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2.5297370966570134</v>
      </c>
    </row>
    <row r="79" spans="1:29" x14ac:dyDescent="0.3">
      <c r="A79">
        <v>5.3127725213348969</v>
      </c>
      <c r="B79">
        <v>0.91272035248922023</v>
      </c>
      <c r="C79">
        <v>2.3564085376345725</v>
      </c>
      <c r="D79">
        <v>3.68</v>
      </c>
      <c r="E79">
        <v>1.4436881851453522</v>
      </c>
      <c r="F79">
        <v>0.32118910283966956</v>
      </c>
      <c r="G79">
        <v>3.68</v>
      </c>
      <c r="H79">
        <v>1.3115834184952269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</row>
    <row r="80" spans="1:29" x14ac:dyDescent="0.3">
      <c r="A80">
        <v>4.07954545467725</v>
      </c>
      <c r="B80">
        <v>0.26397251840911196</v>
      </c>
      <c r="C80">
        <v>1.3725446528322778</v>
      </c>
      <c r="D80">
        <v>3.68</v>
      </c>
      <c r="E80">
        <v>1.1085721344231658</v>
      </c>
      <c r="F80">
        <v>2.7085811322544679</v>
      </c>
      <c r="G80">
        <v>1.3709643224227823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</row>
    <row r="81" spans="1:29" x14ac:dyDescent="0.3">
      <c r="A81">
        <v>4.0308142975894041</v>
      </c>
      <c r="B81">
        <v>1.464016099783322</v>
      </c>
      <c r="C81">
        <v>2.5593460719543559</v>
      </c>
      <c r="D81">
        <v>3.68</v>
      </c>
      <c r="E81">
        <v>1.0953299721710337</v>
      </c>
      <c r="F81">
        <v>0</v>
      </c>
      <c r="G81">
        <v>1.9724207527973749</v>
      </c>
      <c r="H81">
        <v>2.0583935447920299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 x14ac:dyDescent="0.3">
      <c r="A82">
        <v>6.8766690060101139</v>
      </c>
      <c r="B82">
        <v>0.49832445077247911</v>
      </c>
      <c r="C82">
        <v>2.3669845067534885</v>
      </c>
      <c r="D82">
        <v>3.68</v>
      </c>
      <c r="E82">
        <v>1.8686600559810091</v>
      </c>
      <c r="F82">
        <v>1.846166021157277</v>
      </c>
      <c r="G82">
        <v>3.68</v>
      </c>
      <c r="H82">
        <v>1.3505029848528376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 x14ac:dyDescent="0.3">
      <c r="A83">
        <v>5.6335248260164192</v>
      </c>
      <c r="B83">
        <v>0.798870886164881</v>
      </c>
      <c r="C83">
        <v>2.3297200236693429</v>
      </c>
      <c r="D83">
        <v>3.68</v>
      </c>
      <c r="E83">
        <v>1.5308491375044617</v>
      </c>
      <c r="F83">
        <v>0.74015513891323792</v>
      </c>
      <c r="G83">
        <v>3.68</v>
      </c>
      <c r="H83">
        <v>1.213369687103182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</row>
    <row r="84" spans="1:29" x14ac:dyDescent="0.3">
      <c r="A84">
        <v>6.0669036875898419</v>
      </c>
      <c r="B84">
        <v>0.5644328635427911</v>
      </c>
      <c r="C84">
        <v>2.2130479960400304</v>
      </c>
      <c r="D84">
        <v>3.68</v>
      </c>
      <c r="E84">
        <v>1.6486151324972396</v>
      </c>
      <c r="F84">
        <v>1.6028870621625289</v>
      </c>
      <c r="G84">
        <v>3.68</v>
      </c>
      <c r="H84">
        <v>0.7840166254273121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</row>
    <row r="85" spans="1:29" x14ac:dyDescent="0.3">
      <c r="A85">
        <v>4.8287211142896149</v>
      </c>
      <c r="B85">
        <v>23.777597233741428</v>
      </c>
      <c r="C85">
        <v>25.089749710450562</v>
      </c>
      <c r="D85">
        <v>3.68</v>
      </c>
      <c r="E85">
        <v>1.3121524767091344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0.81844217983154466</v>
      </c>
    </row>
    <row r="86" spans="1:29" x14ac:dyDescent="0.3">
      <c r="A86">
        <v>6.1084521133567229</v>
      </c>
      <c r="B86">
        <v>0.67281533991674891</v>
      </c>
      <c r="C86">
        <v>2.3327208055028148</v>
      </c>
      <c r="D86">
        <v>3.68</v>
      </c>
      <c r="E86">
        <v>1.6599054655860659</v>
      </c>
      <c r="F86">
        <v>1.204039549106364</v>
      </c>
      <c r="G86">
        <v>3.68</v>
      </c>
      <c r="H86">
        <v>1.2244125642503585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</row>
    <row r="87" spans="1:29" x14ac:dyDescent="0.3">
      <c r="A87">
        <v>2.6396566994815496</v>
      </c>
      <c r="B87">
        <v>23.407364080834977</v>
      </c>
      <c r="C87">
        <v>24.124662096998442</v>
      </c>
      <c r="D87">
        <v>3.68</v>
      </c>
      <c r="E87">
        <v>0.71729801616346456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2.1809001825272838</v>
      </c>
    </row>
    <row r="88" spans="1:29" x14ac:dyDescent="0.3">
      <c r="A88">
        <v>4.8958864820781232</v>
      </c>
      <c r="B88">
        <v>23.712859597001142</v>
      </c>
      <c r="C88">
        <v>25.043263532348458</v>
      </c>
      <c r="D88">
        <v>3.68</v>
      </c>
      <c r="E88">
        <v>1.330403935347316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1.0566766830357983</v>
      </c>
    </row>
    <row r="89" spans="1:29" x14ac:dyDescent="0.3">
      <c r="A89">
        <v>4.6286512072669206</v>
      </c>
      <c r="B89">
        <v>22.607165438874745</v>
      </c>
      <c r="C89">
        <v>23.864951093023365</v>
      </c>
      <c r="D89">
        <v>3.68</v>
      </c>
      <c r="E89">
        <v>1.2577856541486196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1.4456311849409396</v>
      </c>
      <c r="AC89">
        <v>3.1830200223259819</v>
      </c>
    </row>
    <row r="90" spans="1:29" x14ac:dyDescent="0.3">
      <c r="A90">
        <v>3.7746437904444679</v>
      </c>
      <c r="B90">
        <v>0.90423764472543411</v>
      </c>
      <c r="C90">
        <v>1.9299560660418655</v>
      </c>
      <c r="D90">
        <v>3.68</v>
      </c>
      <c r="E90">
        <v>1.0257184213164314</v>
      </c>
      <c r="F90">
        <v>0.35240546741040252</v>
      </c>
      <c r="G90">
        <v>3.4222383230340654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</row>
    <row r="91" spans="1:29" x14ac:dyDescent="0.3">
      <c r="A91">
        <v>3.7088318463287289</v>
      </c>
      <c r="B91">
        <v>4.5337747213416435E-2</v>
      </c>
      <c r="C91">
        <v>1.0531724880636144</v>
      </c>
      <c r="D91">
        <v>3.68</v>
      </c>
      <c r="E91">
        <v>1.007834740850198</v>
      </c>
      <c r="F91">
        <v>3.5131570902546279</v>
      </c>
      <c r="G91">
        <v>0.19567475607410104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</row>
    <row r="92" spans="1:29" x14ac:dyDescent="0.3">
      <c r="A92">
        <v>1.8611225386443997</v>
      </c>
      <c r="B92">
        <v>0.36331367035380424</v>
      </c>
      <c r="C92">
        <v>0.86905349063760851</v>
      </c>
      <c r="D92">
        <v>3.68</v>
      </c>
      <c r="E92">
        <v>0.50573982028380426</v>
      </c>
      <c r="F92">
        <v>2.3430056930980006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</row>
    <row r="93" spans="1:29" x14ac:dyDescent="0.3">
      <c r="A93">
        <v>6.2977413363412857</v>
      </c>
      <c r="B93">
        <v>0.79864252265873148</v>
      </c>
      <c r="C93">
        <v>2.5099852770992981</v>
      </c>
      <c r="D93">
        <v>3.68</v>
      </c>
      <c r="E93">
        <v>1.7113427544405666</v>
      </c>
      <c r="F93">
        <v>0.74099551661586815</v>
      </c>
      <c r="G93">
        <v>3.68</v>
      </c>
      <c r="H93">
        <v>1.876745819725417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</row>
    <row r="94" spans="1:29" x14ac:dyDescent="0.3">
      <c r="A94">
        <v>3.9454238288164101</v>
      </c>
      <c r="B94">
        <v>0.17342218440457557</v>
      </c>
      <c r="C94">
        <v>1.2455482248438174</v>
      </c>
      <c r="D94">
        <v>3.68</v>
      </c>
      <c r="E94">
        <v>1.0721260404392419</v>
      </c>
      <c r="F94">
        <v>3.0418063613911621</v>
      </c>
      <c r="G94">
        <v>0.90361746742524818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</row>
    <row r="95" spans="1:29" x14ac:dyDescent="0.3">
      <c r="A95">
        <v>5.0627238876128171</v>
      </c>
      <c r="B95">
        <v>0.56226198439854969</v>
      </c>
      <c r="C95">
        <v>1.9380021712498585</v>
      </c>
      <c r="D95">
        <v>3.68</v>
      </c>
      <c r="E95">
        <v>1.3757401868513088</v>
      </c>
      <c r="F95">
        <v>1.6108758974133373</v>
      </c>
      <c r="G95">
        <v>3.4518479901994796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</row>
    <row r="96" spans="1:29" x14ac:dyDescent="0.3">
      <c r="A96">
        <v>4.1291855713114707</v>
      </c>
      <c r="B96">
        <v>1.5293313655353877</v>
      </c>
      <c r="C96">
        <v>2.6513926620874178</v>
      </c>
      <c r="D96">
        <v>3.68</v>
      </c>
      <c r="E96">
        <v>1.12206129655203</v>
      </c>
      <c r="F96">
        <v>0</v>
      </c>
      <c r="G96">
        <v>1.7320605748297733</v>
      </c>
      <c r="H96">
        <v>2.3971249964816974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</row>
    <row r="97" spans="1:29" x14ac:dyDescent="0.3">
      <c r="A97">
        <v>7.6241441356115711</v>
      </c>
      <c r="B97">
        <v>23.460877749637348</v>
      </c>
      <c r="C97">
        <v>25.532656047357882</v>
      </c>
      <c r="D97">
        <v>3.68</v>
      </c>
      <c r="E97">
        <v>2.0717782977205355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1.9839698813345605</v>
      </c>
    </row>
    <row r="98" spans="1:29" x14ac:dyDescent="0.3">
      <c r="A98">
        <v>5.5089869042885757</v>
      </c>
      <c r="B98">
        <v>1.2102864633430812</v>
      </c>
      <c r="C98">
        <v>2.7072937742910637</v>
      </c>
      <c r="D98">
        <v>3.68</v>
      </c>
      <c r="E98">
        <v>1.4970073109479825</v>
      </c>
      <c r="F98">
        <v>0</v>
      </c>
      <c r="G98">
        <v>2.9061458148974615</v>
      </c>
      <c r="H98">
        <v>2.6028410893911142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Main</vt:lpstr>
      <vt:lpstr>Charging_parameter</vt:lpstr>
      <vt:lpstr>Load_per_hour_per_car</vt:lpstr>
      <vt:lpstr>total_power_load_per_house</vt:lpstr>
      <vt:lpstr>area's EV charging demand load</vt:lpstr>
      <vt:lpstr>load_per_car(slow charging)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Ruiqi Wang</dc:creator>
  <cp:lastModifiedBy>Ruiqi Wang</cp:lastModifiedBy>
  <dcterms:created xsi:type="dcterms:W3CDTF">2022-07-07T13:05:45Z</dcterms:created>
  <dcterms:modified xsi:type="dcterms:W3CDTF">2022-08-23T17:34:18Z</dcterms:modified>
</cp:coreProperties>
</file>